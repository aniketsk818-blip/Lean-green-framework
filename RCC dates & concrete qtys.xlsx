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IT Notes\5. Final Year MTP\Feb26\"/>
    </mc:Choice>
  </mc:AlternateContent>
  <xr:revisionPtr revIDLastSave="0" documentId="13_ncr:1_{01F71924-FB8E-4CA5-B888-5BF1AA58C1DA}" xr6:coauthVersionLast="47" xr6:coauthVersionMax="47" xr10:uidLastSave="{00000000-0000-0000-0000-000000000000}"/>
  <bookViews>
    <workbookView xWindow="-110" yWindow="-110" windowWidth="19420" windowHeight="11500" firstSheet="1" activeTab="4" xr2:uid="{D96E5E9A-A70E-42EC-91A0-C59252A66F85}"/>
  </bookViews>
  <sheets>
    <sheet name="EI, PH2B - Cycle time" sheetId="1" r:id="rId1"/>
    <sheet name="Concrete qty" sheetId="2" r:id="rId2"/>
    <sheet name="Consumptions" sheetId="4" r:id="rId3"/>
    <sheet name="Steel &amp; Shuttering qty" sheetId="5" r:id="rId4"/>
    <sheet name="Ind stds dat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4" l="1"/>
  <c r="B26" i="4" s="1"/>
  <c r="B27" i="4" s="1"/>
  <c r="B22" i="4"/>
  <c r="B20" i="4"/>
  <c r="E2" i="5"/>
  <c r="D2" i="5"/>
  <c r="C2" i="5"/>
  <c r="D22" i="4"/>
  <c r="D12" i="4"/>
  <c r="B12" i="4"/>
  <c r="B13" i="4"/>
  <c r="B11" i="4"/>
  <c r="B6" i="4"/>
  <c r="B10" i="4"/>
  <c r="D28" i="4"/>
  <c r="C28" i="4"/>
  <c r="D27" i="4"/>
  <c r="C27" i="4"/>
  <c r="D26" i="4"/>
  <c r="C26" i="4"/>
  <c r="D13" i="4"/>
  <c r="C13" i="4"/>
  <c r="D11" i="4"/>
  <c r="C11" i="4"/>
  <c r="C6" i="4"/>
  <c r="C10" i="4" s="1"/>
  <c r="D6" i="4"/>
  <c r="D10" i="4" s="1"/>
  <c r="B21" i="4"/>
  <c r="B24" i="4" s="1"/>
  <c r="B23" i="4"/>
  <c r="C21" i="4"/>
  <c r="D21" i="4" s="1"/>
  <c r="D24" i="4" s="1"/>
  <c r="C20" i="4"/>
  <c r="D20" i="4" s="1"/>
  <c r="D25" i="4" s="1"/>
  <c r="E11" i="5"/>
  <c r="E3" i="5"/>
  <c r="E4" i="5"/>
  <c r="E5" i="5"/>
  <c r="E6" i="5"/>
  <c r="E7" i="5"/>
  <c r="E8" i="5"/>
  <c r="E9" i="5"/>
  <c r="E10" i="5"/>
  <c r="D11" i="5"/>
  <c r="D3" i="5"/>
  <c r="D4" i="5"/>
  <c r="D5" i="5"/>
  <c r="D6" i="5"/>
  <c r="D7" i="5"/>
  <c r="D8" i="5"/>
  <c r="D9" i="5"/>
  <c r="D10" i="5"/>
  <c r="C11" i="5"/>
  <c r="C7" i="5"/>
  <c r="C8" i="5"/>
  <c r="C9" i="5"/>
  <c r="C10" i="5"/>
  <c r="C6" i="5"/>
  <c r="C5" i="5"/>
  <c r="C4" i="5"/>
  <c r="C3" i="5"/>
  <c r="B11" i="5"/>
  <c r="B10" i="5"/>
  <c r="B9" i="5"/>
  <c r="B8" i="5"/>
  <c r="B7" i="5"/>
  <c r="B6" i="5"/>
  <c r="B5" i="5"/>
  <c r="B4" i="5"/>
  <c r="B3" i="5"/>
  <c r="B2" i="5"/>
  <c r="D23" i="4"/>
  <c r="C23" i="4"/>
  <c r="C22" i="4"/>
  <c r="J32" i="1"/>
  <c r="S3" i="3"/>
  <c r="S4" i="3" s="1"/>
  <c r="S5" i="3" s="1"/>
  <c r="S6" i="3" s="1"/>
  <c r="S7" i="3" s="1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" i="3"/>
  <c r="Q3" i="3"/>
  <c r="Q4" i="3" s="1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" i="3"/>
  <c r="O2" i="3"/>
  <c r="O3" i="3" s="1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M2" i="3"/>
  <c r="M3" i="3" s="1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K3" i="3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" i="3"/>
  <c r="I3" i="3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" i="3"/>
  <c r="G26" i="3"/>
  <c r="G25" i="3"/>
  <c r="G2" i="3"/>
  <c r="G3" i="3" s="1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E2" i="3"/>
  <c r="E3" i="3" s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6" i="3" s="1"/>
  <c r="C26" i="3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3" i="3"/>
  <c r="C2" i="3"/>
  <c r="D27" i="3"/>
  <c r="F27" i="3"/>
  <c r="H27" i="3"/>
  <c r="J27" i="3"/>
  <c r="L27" i="3"/>
  <c r="N27" i="3"/>
  <c r="P27" i="3"/>
  <c r="R27" i="3"/>
  <c r="B27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" i="2"/>
  <c r="C28" i="2"/>
  <c r="D28" i="2"/>
  <c r="E28" i="2"/>
  <c r="F28" i="2"/>
  <c r="G28" i="2"/>
  <c r="H28" i="2"/>
  <c r="I28" i="2"/>
  <c r="J28" i="2"/>
  <c r="B28" i="2"/>
  <c r="C4" i="2"/>
  <c r="B4" i="2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O6" i="1"/>
  <c r="O5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K5" i="1"/>
  <c r="K6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5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5" i="1"/>
  <c r="B28" i="4" l="1"/>
  <c r="C12" i="4"/>
  <c r="C25" i="4"/>
  <c r="C24" i="4"/>
  <c r="AC10" i="1"/>
  <c r="AC9" i="1"/>
  <c r="AC8" i="1"/>
  <c r="AC7" i="1"/>
  <c r="AC6" i="1"/>
  <c r="AC5" i="1"/>
  <c r="Y11" i="1"/>
  <c r="Y10" i="1"/>
  <c r="Y9" i="1"/>
  <c r="Y8" i="1"/>
  <c r="Y7" i="1"/>
  <c r="Y6" i="1"/>
  <c r="Y5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I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</calcChain>
</file>

<file path=xl/sharedStrings.xml><?xml version="1.0" encoding="utf-8"?>
<sst xmlns="http://schemas.openxmlformats.org/spreadsheetml/2006/main" count="208" uniqueCount="138">
  <si>
    <t>L&amp;T Limited (Realty Division)
Emerald Isle Project, Phase 2B Project
Tower wise Actual Slab Casting Dates &amp; Cycle Time - Annexure 1</t>
  </si>
  <si>
    <t>EI, PH2B : SLAB WISE CYCLE TIME (Plan Vs Actual)</t>
  </si>
  <si>
    <t>Above Terrace Work</t>
  </si>
  <si>
    <t>Actual Finish</t>
  </si>
  <si>
    <t>Cycle Time</t>
  </si>
  <si>
    <t>Terrace Slab</t>
  </si>
  <si>
    <t>18th Flr.Slab</t>
  </si>
  <si>
    <t>17th Flr.Slab</t>
  </si>
  <si>
    <t>16th Flr.Slab</t>
  </si>
  <si>
    <t>15th Flr.Slab</t>
  </si>
  <si>
    <t>14th Flr.Slab</t>
  </si>
  <si>
    <t>13th Flr.Slab</t>
  </si>
  <si>
    <t>12th Flr.Slab</t>
  </si>
  <si>
    <t>11th Flr. Slab</t>
  </si>
  <si>
    <t>10th Flr.Slab</t>
  </si>
  <si>
    <t>9th Flr.Slab</t>
  </si>
  <si>
    <t>8th Flr.Slab</t>
  </si>
  <si>
    <t>7th Flr.Slab</t>
  </si>
  <si>
    <t>6th Flr.Slab</t>
  </si>
  <si>
    <t>5th Flr.Slab</t>
  </si>
  <si>
    <t>4th Flr.Slab</t>
  </si>
  <si>
    <t>3rd Flr.Slab</t>
  </si>
  <si>
    <t>2nd Flr.Slab</t>
  </si>
  <si>
    <t>1st Flr.Slab</t>
  </si>
  <si>
    <t>Stilt Flr.Slab - 34.2</t>
  </si>
  <si>
    <t>P3 Flr.Slab - 30.9</t>
  </si>
  <si>
    <t>P2 Flr.Slab - 27.6</t>
  </si>
  <si>
    <t>P1 Flr.Slab - 24.3</t>
  </si>
  <si>
    <t>B1  / Tie Beam - 21.0</t>
  </si>
  <si>
    <t>PCC + Footings</t>
  </si>
  <si>
    <t>Towers</t>
  </si>
  <si>
    <t>T11A</t>
  </si>
  <si>
    <t>T11B</t>
  </si>
  <si>
    <t>T12A</t>
  </si>
  <si>
    <t>T12B</t>
  </si>
  <si>
    <t>T12C</t>
  </si>
  <si>
    <t>T13A</t>
  </si>
  <si>
    <t>T13B</t>
  </si>
  <si>
    <t>T14A</t>
  </si>
  <si>
    <t>T14B</t>
  </si>
  <si>
    <t>Baseline Finish</t>
  </si>
  <si>
    <t>Slab/Floors</t>
  </si>
  <si>
    <t>Raft</t>
  </si>
  <si>
    <t>B-2</t>
  </si>
  <si>
    <t>B-1/Tie Beams</t>
  </si>
  <si>
    <t>P-1</t>
  </si>
  <si>
    <t>P-2</t>
  </si>
  <si>
    <t>P-3</t>
  </si>
  <si>
    <t>Stilt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</si>
  <si>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</si>
  <si>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</si>
  <si>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</si>
  <si>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</si>
  <si>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</si>
  <si>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</si>
  <si>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</si>
  <si>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</si>
  <si>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</si>
  <si>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</si>
  <si>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</si>
  <si>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</si>
  <si>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</si>
  <si>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</si>
  <si>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</si>
  <si>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</si>
  <si>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</si>
  <si>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</si>
  <si>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Terrace</t>
  </si>
  <si>
    <t>Total</t>
  </si>
  <si>
    <t>Slab / Level</t>
  </si>
  <si>
    <t>Raft Foundation</t>
  </si>
  <si>
    <t>B-1 / Tie Beams</t>
  </si>
  <si>
    <t>Podium P-1</t>
  </si>
  <si>
    <t>Podium P-2</t>
  </si>
  <si>
    <t>Podium P-3</t>
  </si>
  <si>
    <t>Stilt Slab</t>
  </si>
  <si>
    <t>Floor F1</t>
  </si>
  <si>
    <t>Typical (F2)</t>
  </si>
  <si>
    <t>Typical (F3)</t>
  </si>
  <si>
    <t>Typical (F4)</t>
  </si>
  <si>
    <t>Typical (F5)</t>
  </si>
  <si>
    <t>Typical (F6)</t>
  </si>
  <si>
    <t>Typical (F7)</t>
  </si>
  <si>
    <t>Typical (F8)</t>
  </si>
  <si>
    <t>Typical (F9)</t>
  </si>
  <si>
    <t>Typical (F10)</t>
  </si>
  <si>
    <t>Typical (F11)</t>
  </si>
  <si>
    <t>Typical (F12)</t>
  </si>
  <si>
    <t>Typical (F13)</t>
  </si>
  <si>
    <t>Typical (F14)</t>
  </si>
  <si>
    <t>Typical (F15)</t>
  </si>
  <si>
    <t>Typical (F16)</t>
  </si>
  <si>
    <t>Typical (F17)</t>
  </si>
  <si>
    <t>Typical (F18)</t>
  </si>
  <si>
    <t>TOTAL DAYS</t>
  </si>
  <si>
    <t>Equipment Group</t>
  </si>
  <si>
    <t>Industry Standard</t>
  </si>
  <si>
    <t>Baseline</t>
  </si>
  <si>
    <t>Actual</t>
  </si>
  <si>
    <t>Calculation Step</t>
  </si>
  <si>
    <t>Tower Cranes (4 Nos)</t>
  </si>
  <si>
    <t>Site Presence * 9h * 45kW * Util</t>
  </si>
  <si>
    <t>Passenger Hoists (9 Nos)</t>
  </si>
  <si>
    <t>Tower-Days * 9h * 15kW</t>
  </si>
  <si>
    <t>Steel Yard (On-site)</t>
  </si>
  <si>
    <t>MT * (1.8 / 2.0 / 3.5)</t>
  </si>
  <si>
    <t>Concrete Pumps (4 Nos)</t>
  </si>
  <si>
    <t>Vc * (1.2 / 1.2 / 1.44)</t>
  </si>
  <si>
    <t>Total Electricity</t>
  </si>
  <si>
    <t>Consolidated Power</t>
  </si>
  <si>
    <t>Total Site working hours</t>
  </si>
  <si>
    <t>Energy consumtion/hr</t>
  </si>
  <si>
    <t>Utilisation factor for TC</t>
  </si>
  <si>
    <t>Utilisation factor for PH</t>
  </si>
  <si>
    <r>
      <t>ISO 25745-2: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Energy performance of lifts, escalators and moving walks.</t>
    </r>
    <r>
      <rPr>
        <sz val="11"/>
        <color theme="1"/>
        <rFont val="Calibri"/>
        <family val="2"/>
        <scheme val="minor"/>
      </rPr>
      <t xml:space="preserve"> While for permanent lifts, the "Usage Category" logic applies. For construction hoists (low intensity), a utilization factor of </t>
    </r>
    <r>
      <rPr>
        <b/>
        <sz val="11"/>
        <color theme="1"/>
        <rFont val="Calibri"/>
        <family val="2"/>
        <scheme val="minor"/>
      </rPr>
      <t>0.1</t>
    </r>
    <r>
      <rPr>
        <sz val="11"/>
        <color theme="1"/>
        <rFont val="Calibri"/>
        <family val="2"/>
        <scheme val="minor"/>
      </rPr>
      <t xml:space="preserve"> is the industry standard for estimating temporary power.</t>
    </r>
  </si>
  <si>
    <t>S. Ahlan et al. (2015): Energy consumption of tower cranes in high-rise construction. Studies show that the average power demand of a tower crane is typically 35% to 45% of its connected load.</t>
  </si>
  <si>
    <t>Tower ID</t>
  </si>
  <si>
    <t>Concrete (m³)</t>
  </si>
  <si>
    <t>Reinforcement (MT)</t>
  </si>
  <si>
    <t>Shuttering (m²)</t>
  </si>
  <si>
    <t>RMC Trips (6m³)</t>
  </si>
  <si>
    <t>TOTAL</t>
  </si>
  <si>
    <t>Concrete Pump efficiency</t>
  </si>
  <si>
    <t>Steel yard efficiency</t>
  </si>
  <si>
    <t>Entry &amp; Gate Process (min)</t>
  </si>
  <si>
    <t>Queue &amp; Parking (min)</t>
  </si>
  <si>
    <t>Discharge (6m³)(min)</t>
  </si>
  <si>
    <t>Clean &amp; Exit (min)</t>
  </si>
  <si>
    <t>Total Site Window (min)</t>
  </si>
  <si>
    <t>Site window diesel consumption/hr</t>
  </si>
  <si>
    <t>Average transport distance for RMC plant</t>
  </si>
  <si>
    <t>Diesel conumption/hr for transport distance</t>
  </si>
  <si>
    <t>Total diesel consumption Site Window for total trips</t>
  </si>
  <si>
    <t>Total diesel consumption during transport</t>
  </si>
  <si>
    <t>Total Diesel consumption</t>
  </si>
  <si>
    <t>Carbon emissions (t) @0.82 kg/kWh</t>
  </si>
  <si>
    <t>Carbon emissions (t) @@ 2.68 kg/L</t>
  </si>
  <si>
    <t>TOTAL RCC 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</si>
</sst>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5" fontId="2" fillId="5" borderId="6" xfId="0" applyNumberFormat="1" applyFont="1" applyFill="1" applyBorder="1" applyAlignment="1">
      <alignment horizontal="center" vertical="center"/>
    </xf>
    <xf numFmtId="15" fontId="2" fillId="0" borderId="0" xfId="0" applyNumberFormat="1" applyFont="1"/>
    <xf numFmtId="15" fontId="2" fillId="5" borderId="9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5" fontId="2" fillId="0" borderId="17" xfId="0" applyNumberFormat="1" applyFont="1" applyBorder="1" applyAlignment="1">
      <alignment horizontal="center" vertical="center" wrapText="1"/>
    </xf>
    <xf numFmtId="15" fontId="2" fillId="0" borderId="18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6" borderId="7" xfId="0" applyFont="1" applyFill="1" applyBorder="1"/>
    <xf numFmtId="0" fontId="3" fillId="6" borderId="7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 vertical="center" wrapText="1"/>
    </xf>
    <xf numFmtId="0" fontId="3" fillId="6" borderId="22" xfId="0" applyFont="1" applyFill="1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1" fontId="0" fillId="0" borderId="7" xfId="0" applyNumberForma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164" fontId="0" fillId="0" borderId="7" xfId="1" applyNumberFormat="1" applyFont="1" applyBorder="1" applyAlignment="1">
      <alignment horizontal="center" vertical="center" wrapText="1"/>
    </xf>
    <xf numFmtId="164" fontId="3" fillId="0" borderId="7" xfId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43" fontId="0" fillId="0" borderId="7" xfId="0" applyNumberFormat="1" applyBorder="1" applyAlignment="1">
      <alignment horizontal="center" vertical="center"/>
    </xf>
    <xf numFmtId="0" fontId="3" fillId="0" borderId="7" xfId="0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8545-55D0-4C10-8E1F-3B0D59AEA152}">
  <sheetPr>
    <pageSetUpPr fitToPage="1"/>
  </sheetPr>
  <dimension ref="A1:AQ36"/>
  <sheetViews>
    <sheetView topLeftCell="A3" zoomScale="33" zoomScaleNormal="55" zoomScaleSheetLayoutView="48" zoomScalePageLayoutView="38" workbookViewId="0">
      <selection activeCell="X29" sqref="X29"/>
    </sheetView>
  </sheetViews>
  <sheetFormatPr defaultColWidth="8.90625" defaultRowHeight="23.5" x14ac:dyDescent="0.55000000000000004"/>
  <cols>
    <col min="1" max="1" width="31.08984375" style="2" bestFit="1" customWidth="1"/>
    <col min="2" max="2" width="19.453125" style="2" bestFit="1" customWidth="1"/>
    <col min="3" max="3" width="10.54296875" style="1" customWidth="1"/>
    <col min="4" max="4" width="17.36328125" style="1" customWidth="1"/>
    <col min="5" max="5" width="10.54296875" style="1" customWidth="1"/>
    <col min="6" max="6" width="17.36328125" style="1" customWidth="1"/>
    <col min="7" max="7" width="10.54296875" style="1" customWidth="1"/>
    <col min="8" max="8" width="17.36328125" style="1" customWidth="1"/>
    <col min="9" max="9" width="10" style="1" bestFit="1" customWidth="1"/>
    <col min="10" max="10" width="17.36328125" style="1" customWidth="1"/>
    <col min="11" max="11" width="10" style="1" customWidth="1"/>
    <col min="12" max="12" width="17.36328125" style="10" customWidth="1"/>
    <col min="13" max="13" width="8.81640625" style="10" bestFit="1" customWidth="1"/>
    <col min="14" max="14" width="17.36328125" style="10" customWidth="1"/>
    <col min="15" max="15" width="8.81640625" style="10" customWidth="1"/>
    <col min="16" max="16" width="17.36328125" style="10" customWidth="1"/>
    <col min="17" max="17" width="8.81640625" style="10" bestFit="1" customWidth="1"/>
    <col min="18" max="18" width="17.36328125" style="10" customWidth="1"/>
    <col min="19" max="19" width="8.81640625" style="10" customWidth="1"/>
    <col min="20" max="20" width="17.36328125" style="10" customWidth="1"/>
    <col min="21" max="21" width="8.81640625" style="10" bestFit="1" customWidth="1"/>
    <col min="22" max="22" width="17.36328125" style="10" customWidth="1"/>
    <col min="23" max="23" width="8.81640625" style="10" customWidth="1"/>
    <col min="24" max="24" width="17.36328125" style="10" customWidth="1"/>
    <col min="25" max="25" width="8.81640625" style="10" bestFit="1" customWidth="1"/>
    <col min="26" max="26" width="17.36328125" style="10" customWidth="1"/>
    <col min="27" max="27" width="8.81640625" style="10" customWidth="1"/>
    <col min="28" max="28" width="17.36328125" style="10" customWidth="1"/>
    <col min="29" max="29" width="8.81640625" style="10" bestFit="1" customWidth="1"/>
    <col min="30" max="30" width="17.36328125" style="10" customWidth="1"/>
    <col min="31" max="31" width="8.81640625" style="10" customWidth="1"/>
    <col min="32" max="32" width="17.36328125" style="10" customWidth="1"/>
    <col min="33" max="33" width="8.81640625" style="10" bestFit="1" customWidth="1"/>
    <col min="34" max="34" width="17.36328125" style="10" customWidth="1"/>
    <col min="35" max="35" width="8.81640625" style="10" customWidth="1"/>
    <col min="36" max="36" width="17.36328125" style="10" customWidth="1"/>
    <col min="37" max="37" width="8.81640625" style="10" bestFit="1" customWidth="1"/>
    <col min="38" max="38" width="8.90625" style="2"/>
    <col min="39" max="39" width="17.453125" style="2" bestFit="1" customWidth="1"/>
    <col min="40" max="42" width="8.90625" style="2"/>
    <col min="43" max="43" width="9.81640625" style="2" bestFit="1" customWidth="1"/>
    <col min="44" max="16384" width="8.90625" style="2"/>
  </cols>
  <sheetData>
    <row r="1" spans="1:42" x14ac:dyDescent="0.55000000000000004">
      <c r="A1" s="57" t="s">
        <v>0</v>
      </c>
      <c r="B1" s="57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</row>
    <row r="2" spans="1:42" ht="63" customHeight="1" thickBot="1" x14ac:dyDescent="0.6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</row>
    <row r="3" spans="1:42" ht="24" thickBot="1" x14ac:dyDescent="0.6">
      <c r="A3" s="60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3"/>
      <c r="AM3" s="3"/>
      <c r="AN3" s="3"/>
      <c r="AO3" s="3"/>
      <c r="AP3" s="3"/>
    </row>
    <row r="4" spans="1:42" ht="57" customHeight="1" x14ac:dyDescent="0.55000000000000004">
      <c r="A4" s="13" t="s">
        <v>2</v>
      </c>
      <c r="B4" s="17" t="s">
        <v>40</v>
      </c>
      <c r="C4" s="18" t="s">
        <v>4</v>
      </c>
      <c r="D4" s="5" t="s">
        <v>3</v>
      </c>
      <c r="E4" s="4" t="s">
        <v>4</v>
      </c>
      <c r="F4" s="17" t="s">
        <v>40</v>
      </c>
      <c r="G4" s="18" t="s">
        <v>4</v>
      </c>
      <c r="H4" s="5" t="s">
        <v>3</v>
      </c>
      <c r="I4" s="4" t="s">
        <v>4</v>
      </c>
      <c r="J4" s="17" t="s">
        <v>40</v>
      </c>
      <c r="K4" s="18" t="s">
        <v>4</v>
      </c>
      <c r="L4" s="5" t="s">
        <v>3</v>
      </c>
      <c r="M4" s="4" t="s">
        <v>4</v>
      </c>
      <c r="N4" s="17" t="s">
        <v>40</v>
      </c>
      <c r="O4" s="18" t="s">
        <v>4</v>
      </c>
      <c r="P4" s="5" t="s">
        <v>3</v>
      </c>
      <c r="Q4" s="4" t="s">
        <v>4</v>
      </c>
      <c r="R4" s="17" t="s">
        <v>40</v>
      </c>
      <c r="S4" s="18" t="s">
        <v>4</v>
      </c>
      <c r="T4" s="5" t="s">
        <v>3</v>
      </c>
      <c r="U4" s="4" t="s">
        <v>4</v>
      </c>
      <c r="V4" s="17" t="s">
        <v>40</v>
      </c>
      <c r="W4" s="18" t="s">
        <v>4</v>
      </c>
      <c r="X4" s="5" t="s">
        <v>3</v>
      </c>
      <c r="Y4" s="4" t="s">
        <v>4</v>
      </c>
      <c r="Z4" s="17" t="s">
        <v>40</v>
      </c>
      <c r="AA4" s="18" t="s">
        <v>4</v>
      </c>
      <c r="AB4" s="5" t="s">
        <v>3</v>
      </c>
      <c r="AC4" s="4" t="s">
        <v>4</v>
      </c>
      <c r="AD4" s="17" t="s">
        <v>40</v>
      </c>
      <c r="AE4" s="18" t="s">
        <v>4</v>
      </c>
      <c r="AF4" s="5" t="s">
        <v>3</v>
      </c>
      <c r="AG4" s="4" t="s">
        <v>4</v>
      </c>
      <c r="AH4" s="17" t="s">
        <v>40</v>
      </c>
      <c r="AI4" s="18" t="s">
        <v>4</v>
      </c>
      <c r="AJ4" s="5" t="s">
        <v>3</v>
      </c>
      <c r="AK4" s="4" t="s">
        <v>4</v>
      </c>
    </row>
    <row r="5" spans="1:42" x14ac:dyDescent="0.55000000000000004">
      <c r="A5" s="14" t="s">
        <v>5</v>
      </c>
      <c r="B5" s="23">
        <v>44964</v>
      </c>
      <c r="C5" s="21">
        <f>B5-B7</f>
        <v>22</v>
      </c>
      <c r="D5" s="6">
        <v>45323</v>
      </c>
      <c r="E5" s="19">
        <f>D5-D7</f>
        <v>20</v>
      </c>
      <c r="F5" s="23">
        <v>44964</v>
      </c>
      <c r="G5" s="21">
        <f>F5-F7</f>
        <v>22</v>
      </c>
      <c r="H5" s="6">
        <v>45325</v>
      </c>
      <c r="I5" s="19">
        <f>H5-H7</f>
        <v>18</v>
      </c>
      <c r="J5" s="23">
        <v>44986</v>
      </c>
      <c r="K5" s="21">
        <f>J5-J6</f>
        <v>21</v>
      </c>
      <c r="L5" s="6">
        <v>45363</v>
      </c>
      <c r="M5" s="19">
        <f t="shared" ref="M5:Q27" si="0">L5-L6</f>
        <v>13</v>
      </c>
      <c r="N5" s="23">
        <v>44986</v>
      </c>
      <c r="O5" s="21">
        <f t="shared" ref="O5:O28" si="1">N5-N6</f>
        <v>21</v>
      </c>
      <c r="P5" s="6">
        <v>45275</v>
      </c>
      <c r="Q5" s="19">
        <f t="shared" si="0"/>
        <v>15</v>
      </c>
      <c r="R5" s="23">
        <v>44986</v>
      </c>
      <c r="S5" s="21">
        <f t="shared" ref="S5:S28" si="2">R5-R6</f>
        <v>21</v>
      </c>
      <c r="T5" s="6">
        <v>45287</v>
      </c>
      <c r="U5" s="19">
        <f t="shared" ref="U5:Y5" si="3">T5-T6</f>
        <v>17</v>
      </c>
      <c r="V5" s="23">
        <v>44970</v>
      </c>
      <c r="W5" s="21">
        <f t="shared" ref="W5:W28" si="4">V5-V6</f>
        <v>23</v>
      </c>
      <c r="X5" s="6">
        <v>45266</v>
      </c>
      <c r="Y5" s="19">
        <f t="shared" si="3"/>
        <v>27</v>
      </c>
      <c r="Z5" s="23">
        <v>44965</v>
      </c>
      <c r="AA5" s="21">
        <f t="shared" ref="AA5:AA28" si="5">Z5-Z6</f>
        <v>22</v>
      </c>
      <c r="AB5" s="6">
        <v>45254</v>
      </c>
      <c r="AC5" s="19">
        <f t="shared" ref="AC5" si="6">AB5-AB6</f>
        <v>28</v>
      </c>
      <c r="AD5" s="23">
        <v>44940</v>
      </c>
      <c r="AE5" s="21">
        <f t="shared" ref="AE5:AE28" si="7">AD5-AD6</f>
        <v>19</v>
      </c>
      <c r="AF5" s="6">
        <v>45193</v>
      </c>
      <c r="AG5" s="19">
        <f t="shared" ref="AG5:AK27" si="8">AF5-AF6</f>
        <v>28</v>
      </c>
      <c r="AH5" s="23">
        <v>44940</v>
      </c>
      <c r="AI5" s="21"/>
      <c r="AJ5" s="6">
        <v>45196</v>
      </c>
      <c r="AK5" s="19">
        <f t="shared" si="8"/>
        <v>27</v>
      </c>
    </row>
    <row r="6" spans="1:42" x14ac:dyDescent="0.55000000000000004">
      <c r="A6" s="15" t="s">
        <v>6</v>
      </c>
      <c r="B6" s="23"/>
      <c r="C6" s="21"/>
      <c r="D6" s="6"/>
      <c r="E6" s="19"/>
      <c r="F6" s="23"/>
      <c r="G6" s="21"/>
      <c r="H6" s="6"/>
      <c r="I6" s="19"/>
      <c r="J6" s="23">
        <v>44965</v>
      </c>
      <c r="K6" s="21">
        <f t="shared" ref="K6" si="9">J6-J7</f>
        <v>8</v>
      </c>
      <c r="L6" s="6">
        <v>45350</v>
      </c>
      <c r="M6" s="19">
        <f t="shared" si="0"/>
        <v>6</v>
      </c>
      <c r="N6" s="23">
        <v>44965</v>
      </c>
      <c r="O6" s="21">
        <f t="shared" si="1"/>
        <v>8</v>
      </c>
      <c r="P6" s="6">
        <v>45260</v>
      </c>
      <c r="Q6" s="19">
        <f t="shared" si="0"/>
        <v>15</v>
      </c>
      <c r="R6" s="23">
        <v>44965</v>
      </c>
      <c r="S6" s="21">
        <f t="shared" si="2"/>
        <v>8</v>
      </c>
      <c r="T6" s="6">
        <v>45270</v>
      </c>
      <c r="U6" s="19">
        <f t="shared" ref="U6:Y6" si="10">T6-T7</f>
        <v>8</v>
      </c>
      <c r="V6" s="23">
        <v>44947</v>
      </c>
      <c r="W6" s="21">
        <f t="shared" si="4"/>
        <v>8</v>
      </c>
      <c r="X6" s="6">
        <v>45239</v>
      </c>
      <c r="Y6" s="19">
        <f t="shared" si="10"/>
        <v>14</v>
      </c>
      <c r="Z6" s="23">
        <v>44943</v>
      </c>
      <c r="AA6" s="21">
        <f t="shared" si="5"/>
        <v>8</v>
      </c>
      <c r="AB6" s="6">
        <v>45226</v>
      </c>
      <c r="AC6" s="19">
        <f t="shared" ref="AC6" si="11">AB6-AB7</f>
        <v>10</v>
      </c>
      <c r="AD6" s="23">
        <v>44921</v>
      </c>
      <c r="AE6" s="21">
        <f t="shared" si="7"/>
        <v>9</v>
      </c>
      <c r="AF6" s="6">
        <v>45165</v>
      </c>
      <c r="AG6" s="19">
        <f t="shared" si="8"/>
        <v>17</v>
      </c>
      <c r="AH6" s="23">
        <v>44919</v>
      </c>
      <c r="AI6" s="21"/>
      <c r="AJ6" s="6">
        <v>45169</v>
      </c>
      <c r="AK6" s="19">
        <f t="shared" si="8"/>
        <v>13</v>
      </c>
    </row>
    <row r="7" spans="1:42" x14ac:dyDescent="0.55000000000000004">
      <c r="A7" s="15" t="s">
        <v>7</v>
      </c>
      <c r="B7" s="23">
        <v>44942</v>
      </c>
      <c r="C7" s="21">
        <f t="shared" ref="C7:C28" si="12">B7-B8</f>
        <v>9</v>
      </c>
      <c r="D7" s="6">
        <v>45303</v>
      </c>
      <c r="E7" s="19">
        <f t="shared" ref="E7:E28" si="13">D7-D8</f>
        <v>13</v>
      </c>
      <c r="F7" s="23">
        <v>44942</v>
      </c>
      <c r="G7" s="21">
        <f t="shared" ref="G7:G28" si="14">F7-F8</f>
        <v>9</v>
      </c>
      <c r="H7" s="6">
        <v>45307</v>
      </c>
      <c r="I7" s="19">
        <f t="shared" ref="I7:I27" si="15">H7-H8</f>
        <v>12</v>
      </c>
      <c r="J7" s="23">
        <v>44957</v>
      </c>
      <c r="K7" s="21">
        <f t="shared" ref="K7:K28" si="16">J7-J8</f>
        <v>10</v>
      </c>
      <c r="L7" s="6">
        <v>45344</v>
      </c>
      <c r="M7" s="19">
        <f t="shared" si="0"/>
        <v>4</v>
      </c>
      <c r="N7" s="23">
        <v>44957</v>
      </c>
      <c r="O7" s="21">
        <f t="shared" si="1"/>
        <v>10</v>
      </c>
      <c r="P7" s="6">
        <v>45245</v>
      </c>
      <c r="Q7" s="19">
        <f t="shared" si="0"/>
        <v>14</v>
      </c>
      <c r="R7" s="23">
        <v>44957</v>
      </c>
      <c r="S7" s="21">
        <f t="shared" si="2"/>
        <v>10</v>
      </c>
      <c r="T7" s="6">
        <v>45262</v>
      </c>
      <c r="U7" s="19">
        <f t="shared" ref="U7:Y7" si="17">T7-T8</f>
        <v>10</v>
      </c>
      <c r="V7" s="23">
        <v>44939</v>
      </c>
      <c r="W7" s="21">
        <f t="shared" si="4"/>
        <v>8</v>
      </c>
      <c r="X7" s="6">
        <v>45225</v>
      </c>
      <c r="Y7" s="19">
        <f t="shared" si="17"/>
        <v>15</v>
      </c>
      <c r="Z7" s="23">
        <v>44935</v>
      </c>
      <c r="AA7" s="21">
        <f t="shared" si="5"/>
        <v>9</v>
      </c>
      <c r="AB7" s="6">
        <v>45216</v>
      </c>
      <c r="AC7" s="19">
        <f t="shared" ref="AC7" si="18">AB7-AB8</f>
        <v>9</v>
      </c>
      <c r="AD7" s="23">
        <v>44912</v>
      </c>
      <c r="AE7" s="21">
        <f t="shared" si="7"/>
        <v>8</v>
      </c>
      <c r="AF7" s="6">
        <v>45148</v>
      </c>
      <c r="AG7" s="19">
        <f t="shared" si="8"/>
        <v>16</v>
      </c>
      <c r="AH7" s="23">
        <v>44911</v>
      </c>
      <c r="AI7" s="21"/>
      <c r="AJ7" s="6">
        <v>45156</v>
      </c>
      <c r="AK7" s="19">
        <f t="shared" si="8"/>
        <v>17</v>
      </c>
    </row>
    <row r="8" spans="1:42" x14ac:dyDescent="0.55000000000000004">
      <c r="A8" s="15" t="s">
        <v>8</v>
      </c>
      <c r="B8" s="23">
        <v>44933</v>
      </c>
      <c r="C8" s="21">
        <f t="shared" si="12"/>
        <v>8</v>
      </c>
      <c r="D8" s="6">
        <v>45290</v>
      </c>
      <c r="E8" s="19">
        <f t="shared" si="13"/>
        <v>12</v>
      </c>
      <c r="F8" s="23">
        <v>44933</v>
      </c>
      <c r="G8" s="21">
        <f t="shared" si="14"/>
        <v>8</v>
      </c>
      <c r="H8" s="6">
        <v>45295</v>
      </c>
      <c r="I8" s="19">
        <f t="shared" si="15"/>
        <v>14</v>
      </c>
      <c r="J8" s="23">
        <v>44947</v>
      </c>
      <c r="K8" s="21">
        <f t="shared" si="16"/>
        <v>8</v>
      </c>
      <c r="L8" s="6">
        <v>45340</v>
      </c>
      <c r="M8" s="19">
        <f t="shared" si="0"/>
        <v>5</v>
      </c>
      <c r="N8" s="23">
        <v>44947</v>
      </c>
      <c r="O8" s="21">
        <f t="shared" si="1"/>
        <v>8</v>
      </c>
      <c r="P8" s="6">
        <v>45231</v>
      </c>
      <c r="Q8" s="19">
        <f t="shared" si="0"/>
        <v>12</v>
      </c>
      <c r="R8" s="23">
        <v>44947</v>
      </c>
      <c r="S8" s="21">
        <f t="shared" si="2"/>
        <v>8</v>
      </c>
      <c r="T8" s="6">
        <v>45252</v>
      </c>
      <c r="U8" s="19">
        <f t="shared" ref="U8:Y8" si="19">T8-T9</f>
        <v>11</v>
      </c>
      <c r="V8" s="23">
        <v>44931</v>
      </c>
      <c r="W8" s="21">
        <f t="shared" si="4"/>
        <v>8</v>
      </c>
      <c r="X8" s="6">
        <v>45210</v>
      </c>
      <c r="Y8" s="19">
        <f t="shared" si="19"/>
        <v>11</v>
      </c>
      <c r="Z8" s="23">
        <v>44926</v>
      </c>
      <c r="AA8" s="21">
        <f t="shared" si="5"/>
        <v>8</v>
      </c>
      <c r="AB8" s="6">
        <v>45207</v>
      </c>
      <c r="AC8" s="19">
        <f t="shared" ref="AC8" si="20">AB8-AB9</f>
        <v>10</v>
      </c>
      <c r="AD8" s="23">
        <v>44904</v>
      </c>
      <c r="AE8" s="21">
        <f t="shared" si="7"/>
        <v>8</v>
      </c>
      <c r="AF8" s="6">
        <v>45132</v>
      </c>
      <c r="AG8" s="19">
        <f t="shared" si="8"/>
        <v>14</v>
      </c>
      <c r="AH8" s="23">
        <v>44903</v>
      </c>
      <c r="AI8" s="21"/>
      <c r="AJ8" s="6">
        <v>45139</v>
      </c>
      <c r="AK8" s="19">
        <f t="shared" si="8"/>
        <v>17</v>
      </c>
    </row>
    <row r="9" spans="1:42" x14ac:dyDescent="0.55000000000000004">
      <c r="A9" s="14" t="s">
        <v>9</v>
      </c>
      <c r="B9" s="23">
        <v>44925</v>
      </c>
      <c r="C9" s="21">
        <f t="shared" si="12"/>
        <v>8</v>
      </c>
      <c r="D9" s="6">
        <v>45278</v>
      </c>
      <c r="E9" s="19">
        <f t="shared" si="13"/>
        <v>12</v>
      </c>
      <c r="F9" s="23">
        <v>44925</v>
      </c>
      <c r="G9" s="21">
        <f t="shared" si="14"/>
        <v>8</v>
      </c>
      <c r="H9" s="6">
        <v>45281</v>
      </c>
      <c r="I9" s="19">
        <f t="shared" si="15"/>
        <v>13</v>
      </c>
      <c r="J9" s="23">
        <v>44939</v>
      </c>
      <c r="K9" s="21">
        <f t="shared" si="16"/>
        <v>8</v>
      </c>
      <c r="L9" s="6">
        <v>45335</v>
      </c>
      <c r="M9" s="19">
        <f t="shared" si="0"/>
        <v>6</v>
      </c>
      <c r="N9" s="23">
        <v>44939</v>
      </c>
      <c r="O9" s="21">
        <f t="shared" si="1"/>
        <v>8</v>
      </c>
      <c r="P9" s="6">
        <v>45219</v>
      </c>
      <c r="Q9" s="19">
        <f t="shared" si="0"/>
        <v>10</v>
      </c>
      <c r="R9" s="23">
        <v>44939</v>
      </c>
      <c r="S9" s="21">
        <f t="shared" si="2"/>
        <v>8</v>
      </c>
      <c r="T9" s="6">
        <v>45241</v>
      </c>
      <c r="U9" s="19">
        <f t="shared" ref="U9:Y9" si="21">T9-T10</f>
        <v>10</v>
      </c>
      <c r="V9" s="23">
        <v>44923</v>
      </c>
      <c r="W9" s="21">
        <f t="shared" si="4"/>
        <v>8</v>
      </c>
      <c r="X9" s="6">
        <v>45199</v>
      </c>
      <c r="Y9" s="19">
        <f t="shared" si="21"/>
        <v>10</v>
      </c>
      <c r="Z9" s="23">
        <v>44918</v>
      </c>
      <c r="AA9" s="21">
        <f t="shared" si="5"/>
        <v>8</v>
      </c>
      <c r="AB9" s="6">
        <v>45197</v>
      </c>
      <c r="AC9" s="19">
        <f t="shared" ref="AC9" si="22">AB9-AB10</f>
        <v>8</v>
      </c>
      <c r="AD9" s="23">
        <v>44896</v>
      </c>
      <c r="AE9" s="21">
        <f t="shared" si="7"/>
        <v>9</v>
      </c>
      <c r="AF9" s="6">
        <v>45118</v>
      </c>
      <c r="AG9" s="19">
        <f t="shared" si="8"/>
        <v>21</v>
      </c>
      <c r="AH9" s="23">
        <v>44895</v>
      </c>
      <c r="AI9" s="21"/>
      <c r="AJ9" s="6">
        <v>45122</v>
      </c>
      <c r="AK9" s="19">
        <f t="shared" si="8"/>
        <v>16</v>
      </c>
    </row>
    <row r="10" spans="1:42" x14ac:dyDescent="0.55000000000000004">
      <c r="A10" s="15" t="s">
        <v>10</v>
      </c>
      <c r="B10" s="23">
        <v>44917</v>
      </c>
      <c r="C10" s="21">
        <f t="shared" si="12"/>
        <v>9</v>
      </c>
      <c r="D10" s="6">
        <v>45266</v>
      </c>
      <c r="E10" s="19">
        <f t="shared" si="13"/>
        <v>18</v>
      </c>
      <c r="F10" s="23">
        <v>44917</v>
      </c>
      <c r="G10" s="21">
        <f t="shared" si="14"/>
        <v>9</v>
      </c>
      <c r="H10" s="6">
        <v>45268</v>
      </c>
      <c r="I10" s="19">
        <f t="shared" si="15"/>
        <v>13</v>
      </c>
      <c r="J10" s="23">
        <v>44931</v>
      </c>
      <c r="K10" s="21">
        <f t="shared" si="16"/>
        <v>9</v>
      </c>
      <c r="L10" s="6">
        <v>45329</v>
      </c>
      <c r="M10" s="19">
        <f t="shared" si="0"/>
        <v>7</v>
      </c>
      <c r="N10" s="23">
        <v>44931</v>
      </c>
      <c r="O10" s="21">
        <f t="shared" si="1"/>
        <v>9</v>
      </c>
      <c r="P10" s="6">
        <v>45209</v>
      </c>
      <c r="Q10" s="19">
        <f t="shared" si="0"/>
        <v>10</v>
      </c>
      <c r="R10" s="23">
        <v>44931</v>
      </c>
      <c r="S10" s="21">
        <f t="shared" si="2"/>
        <v>9</v>
      </c>
      <c r="T10" s="6">
        <v>45231</v>
      </c>
      <c r="U10" s="19">
        <f t="shared" ref="U10:Y10" si="23">T10-T11</f>
        <v>10</v>
      </c>
      <c r="V10" s="23">
        <v>44915</v>
      </c>
      <c r="W10" s="21">
        <f t="shared" si="4"/>
        <v>10</v>
      </c>
      <c r="X10" s="6">
        <v>45189</v>
      </c>
      <c r="Y10" s="19">
        <f t="shared" si="23"/>
        <v>14</v>
      </c>
      <c r="Z10" s="23">
        <v>44910</v>
      </c>
      <c r="AA10" s="21">
        <f t="shared" si="5"/>
        <v>9</v>
      </c>
      <c r="AB10" s="6">
        <v>45189</v>
      </c>
      <c r="AC10" s="19">
        <f t="shared" ref="AC10" si="24">AB10-AB11</f>
        <v>15</v>
      </c>
      <c r="AD10" s="23">
        <v>44887</v>
      </c>
      <c r="AE10" s="21">
        <f t="shared" si="7"/>
        <v>10</v>
      </c>
      <c r="AF10" s="6">
        <v>45097</v>
      </c>
      <c r="AG10" s="19">
        <f t="shared" si="8"/>
        <v>5</v>
      </c>
      <c r="AH10" s="23">
        <v>44886</v>
      </c>
      <c r="AI10" s="21"/>
      <c r="AJ10" s="6">
        <v>45106</v>
      </c>
      <c r="AK10" s="19">
        <f t="shared" si="8"/>
        <v>16</v>
      </c>
    </row>
    <row r="11" spans="1:42" x14ac:dyDescent="0.55000000000000004">
      <c r="A11" s="15" t="s">
        <v>11</v>
      </c>
      <c r="B11" s="23">
        <v>44908</v>
      </c>
      <c r="C11" s="21">
        <f t="shared" si="12"/>
        <v>10</v>
      </c>
      <c r="D11" s="6">
        <v>45248</v>
      </c>
      <c r="E11" s="19">
        <f t="shared" si="13"/>
        <v>34</v>
      </c>
      <c r="F11" s="23">
        <v>44908</v>
      </c>
      <c r="G11" s="21">
        <f t="shared" si="14"/>
        <v>10</v>
      </c>
      <c r="H11" s="6">
        <v>45255</v>
      </c>
      <c r="I11" s="19">
        <f t="shared" si="15"/>
        <v>22</v>
      </c>
      <c r="J11" s="23">
        <v>44922</v>
      </c>
      <c r="K11" s="21">
        <f t="shared" si="16"/>
        <v>10</v>
      </c>
      <c r="L11" s="6">
        <v>45322</v>
      </c>
      <c r="M11" s="19">
        <f t="shared" si="0"/>
        <v>10</v>
      </c>
      <c r="N11" s="23">
        <v>44922</v>
      </c>
      <c r="O11" s="21">
        <f t="shared" si="1"/>
        <v>10</v>
      </c>
      <c r="P11" s="6">
        <v>45199</v>
      </c>
      <c r="Q11" s="19">
        <f t="shared" si="0"/>
        <v>8</v>
      </c>
      <c r="R11" s="23">
        <v>44922</v>
      </c>
      <c r="S11" s="21">
        <f t="shared" si="2"/>
        <v>10</v>
      </c>
      <c r="T11" s="6">
        <v>45221</v>
      </c>
      <c r="U11" s="19">
        <f t="shared" ref="U11:Y11" si="25">T11-T12</f>
        <v>8</v>
      </c>
      <c r="V11" s="23">
        <v>44905</v>
      </c>
      <c r="W11" s="21">
        <f t="shared" si="4"/>
        <v>9</v>
      </c>
      <c r="X11" s="6">
        <v>45175</v>
      </c>
      <c r="Y11" s="19">
        <f t="shared" si="25"/>
        <v>10</v>
      </c>
      <c r="Z11" s="23">
        <v>44901</v>
      </c>
      <c r="AA11" s="21">
        <f t="shared" si="5"/>
        <v>10</v>
      </c>
      <c r="AB11" s="6">
        <v>45174</v>
      </c>
      <c r="AC11" s="19">
        <v>11</v>
      </c>
      <c r="AD11" s="23">
        <v>44877</v>
      </c>
      <c r="AE11" s="21">
        <f t="shared" si="7"/>
        <v>9</v>
      </c>
      <c r="AF11" s="6">
        <v>45092</v>
      </c>
      <c r="AG11" s="19">
        <f t="shared" si="8"/>
        <v>11</v>
      </c>
      <c r="AH11" s="23">
        <v>44876</v>
      </c>
      <c r="AI11" s="21"/>
      <c r="AJ11" s="6">
        <v>45090</v>
      </c>
      <c r="AK11" s="19">
        <f t="shared" si="8"/>
        <v>12</v>
      </c>
    </row>
    <row r="12" spans="1:42" x14ac:dyDescent="0.55000000000000004">
      <c r="A12" s="15" t="s">
        <v>12</v>
      </c>
      <c r="B12" s="23">
        <v>44898</v>
      </c>
      <c r="C12" s="21">
        <f t="shared" si="12"/>
        <v>9</v>
      </c>
      <c r="D12" s="6">
        <v>45214</v>
      </c>
      <c r="E12" s="19">
        <f t="shared" si="13"/>
        <v>16</v>
      </c>
      <c r="F12" s="23">
        <v>44898</v>
      </c>
      <c r="G12" s="21">
        <f t="shared" si="14"/>
        <v>9</v>
      </c>
      <c r="H12" s="6">
        <v>45233</v>
      </c>
      <c r="I12" s="19">
        <f t="shared" si="15"/>
        <v>11</v>
      </c>
      <c r="J12" s="23">
        <v>44912</v>
      </c>
      <c r="K12" s="21">
        <f t="shared" si="16"/>
        <v>9</v>
      </c>
      <c r="L12" s="6">
        <v>45312</v>
      </c>
      <c r="M12" s="19">
        <f t="shared" si="0"/>
        <v>9</v>
      </c>
      <c r="N12" s="23">
        <v>44912</v>
      </c>
      <c r="O12" s="21">
        <f t="shared" si="1"/>
        <v>9</v>
      </c>
      <c r="P12" s="6">
        <v>45191</v>
      </c>
      <c r="Q12" s="19">
        <f t="shared" si="0"/>
        <v>19</v>
      </c>
      <c r="R12" s="23">
        <v>44912</v>
      </c>
      <c r="S12" s="21">
        <f t="shared" si="2"/>
        <v>9</v>
      </c>
      <c r="T12" s="6">
        <v>45213</v>
      </c>
      <c r="U12" s="19">
        <f t="shared" ref="U12" si="26">T12-T13</f>
        <v>7</v>
      </c>
      <c r="V12" s="23">
        <v>44896</v>
      </c>
      <c r="W12" s="21">
        <f t="shared" si="4"/>
        <v>9</v>
      </c>
      <c r="X12" s="6">
        <v>45165</v>
      </c>
      <c r="Y12" s="19">
        <v>11</v>
      </c>
      <c r="Z12" s="23">
        <v>44891</v>
      </c>
      <c r="AA12" s="21">
        <f t="shared" si="5"/>
        <v>9</v>
      </c>
      <c r="AB12" s="6">
        <v>45163</v>
      </c>
      <c r="AC12" s="19">
        <v>14</v>
      </c>
      <c r="AD12" s="23">
        <v>44868</v>
      </c>
      <c r="AE12" s="21">
        <f t="shared" si="7"/>
        <v>9</v>
      </c>
      <c r="AF12" s="6">
        <v>45081</v>
      </c>
      <c r="AG12" s="19">
        <f t="shared" si="8"/>
        <v>17</v>
      </c>
      <c r="AH12" s="23">
        <v>44867</v>
      </c>
      <c r="AI12" s="21"/>
      <c r="AJ12" s="6">
        <v>45078</v>
      </c>
      <c r="AK12" s="19">
        <f t="shared" si="8"/>
        <v>8</v>
      </c>
    </row>
    <row r="13" spans="1:42" x14ac:dyDescent="0.55000000000000004">
      <c r="A13" s="15" t="s">
        <v>13</v>
      </c>
      <c r="B13" s="23">
        <v>44889</v>
      </c>
      <c r="C13" s="21">
        <f t="shared" si="12"/>
        <v>9</v>
      </c>
      <c r="D13" s="6">
        <v>45198</v>
      </c>
      <c r="E13" s="19">
        <f t="shared" si="13"/>
        <v>15</v>
      </c>
      <c r="F13" s="23">
        <v>44889</v>
      </c>
      <c r="G13" s="21">
        <f t="shared" si="14"/>
        <v>9</v>
      </c>
      <c r="H13" s="6">
        <v>45222</v>
      </c>
      <c r="I13" s="19">
        <f t="shared" si="15"/>
        <v>15</v>
      </c>
      <c r="J13" s="23">
        <v>44903</v>
      </c>
      <c r="K13" s="21">
        <f t="shared" si="16"/>
        <v>9</v>
      </c>
      <c r="L13" s="6">
        <v>45303</v>
      </c>
      <c r="M13" s="19">
        <f t="shared" si="0"/>
        <v>14</v>
      </c>
      <c r="N13" s="23">
        <v>44903</v>
      </c>
      <c r="O13" s="21">
        <f t="shared" si="1"/>
        <v>9</v>
      </c>
      <c r="P13" s="6">
        <v>45172</v>
      </c>
      <c r="Q13" s="19">
        <f t="shared" si="0"/>
        <v>12</v>
      </c>
      <c r="R13" s="23">
        <v>44903</v>
      </c>
      <c r="S13" s="21">
        <f t="shared" si="2"/>
        <v>9</v>
      </c>
      <c r="T13" s="6">
        <v>45206</v>
      </c>
      <c r="U13" s="19">
        <f t="shared" ref="U13" si="27">T13-T14</f>
        <v>10</v>
      </c>
      <c r="V13" s="23">
        <v>44887</v>
      </c>
      <c r="W13" s="21">
        <f t="shared" si="4"/>
        <v>10</v>
      </c>
      <c r="X13" s="6">
        <v>45154</v>
      </c>
      <c r="Y13" s="19">
        <v>14</v>
      </c>
      <c r="Z13" s="23">
        <v>44882</v>
      </c>
      <c r="AA13" s="21">
        <f t="shared" si="5"/>
        <v>9</v>
      </c>
      <c r="AB13" s="6">
        <v>45149</v>
      </c>
      <c r="AC13" s="19">
        <v>11</v>
      </c>
      <c r="AD13" s="23">
        <v>44859</v>
      </c>
      <c r="AE13" s="21">
        <f t="shared" si="7"/>
        <v>10</v>
      </c>
      <c r="AF13" s="6">
        <v>45064</v>
      </c>
      <c r="AG13" s="19">
        <f t="shared" si="8"/>
        <v>12</v>
      </c>
      <c r="AH13" s="23">
        <v>44857</v>
      </c>
      <c r="AI13" s="21"/>
      <c r="AJ13" s="6">
        <v>45070</v>
      </c>
      <c r="AK13" s="19">
        <f t="shared" si="8"/>
        <v>12</v>
      </c>
    </row>
    <row r="14" spans="1:42" x14ac:dyDescent="0.55000000000000004">
      <c r="A14" s="14" t="s">
        <v>14</v>
      </c>
      <c r="B14" s="23">
        <v>44880</v>
      </c>
      <c r="C14" s="21">
        <f t="shared" si="12"/>
        <v>10</v>
      </c>
      <c r="D14" s="6">
        <v>45183</v>
      </c>
      <c r="E14" s="19">
        <f t="shared" si="13"/>
        <v>11</v>
      </c>
      <c r="F14" s="23">
        <v>44880</v>
      </c>
      <c r="G14" s="21">
        <f t="shared" si="14"/>
        <v>10</v>
      </c>
      <c r="H14" s="6">
        <v>45207</v>
      </c>
      <c r="I14" s="19">
        <f t="shared" si="15"/>
        <v>16</v>
      </c>
      <c r="J14" s="23">
        <v>44894</v>
      </c>
      <c r="K14" s="21">
        <f t="shared" si="16"/>
        <v>10</v>
      </c>
      <c r="L14" s="6">
        <v>45289</v>
      </c>
      <c r="M14" s="19">
        <f t="shared" si="0"/>
        <v>125</v>
      </c>
      <c r="N14" s="23">
        <v>44894</v>
      </c>
      <c r="O14" s="21">
        <f t="shared" si="1"/>
        <v>10</v>
      </c>
      <c r="P14" s="6">
        <v>45160</v>
      </c>
      <c r="Q14" s="19">
        <f t="shared" si="0"/>
        <v>10</v>
      </c>
      <c r="R14" s="23">
        <v>44894</v>
      </c>
      <c r="S14" s="21">
        <f t="shared" si="2"/>
        <v>10</v>
      </c>
      <c r="T14" s="6">
        <v>45196</v>
      </c>
      <c r="U14" s="19">
        <f t="shared" ref="U14" si="28">T14-T15</f>
        <v>8</v>
      </c>
      <c r="V14" s="23">
        <v>44877</v>
      </c>
      <c r="W14" s="21">
        <f t="shared" si="4"/>
        <v>9</v>
      </c>
      <c r="X14" s="6">
        <v>45140</v>
      </c>
      <c r="Y14" s="19">
        <v>14</v>
      </c>
      <c r="Z14" s="23">
        <v>44873</v>
      </c>
      <c r="AA14" s="21">
        <f t="shared" si="5"/>
        <v>10</v>
      </c>
      <c r="AB14" s="6">
        <v>45138</v>
      </c>
      <c r="AC14" s="19">
        <v>13</v>
      </c>
      <c r="AD14" s="23">
        <v>44849</v>
      </c>
      <c r="AE14" s="21">
        <f t="shared" si="7"/>
        <v>9</v>
      </c>
      <c r="AF14" s="6">
        <v>45052</v>
      </c>
      <c r="AG14" s="19">
        <f t="shared" si="8"/>
        <v>9</v>
      </c>
      <c r="AH14" s="23">
        <v>44848</v>
      </c>
      <c r="AI14" s="21"/>
      <c r="AJ14" s="6">
        <v>45058</v>
      </c>
      <c r="AK14" s="19">
        <f t="shared" si="8"/>
        <v>9</v>
      </c>
    </row>
    <row r="15" spans="1:42" x14ac:dyDescent="0.55000000000000004">
      <c r="A15" s="15" t="s">
        <v>15</v>
      </c>
      <c r="B15" s="23">
        <v>44870</v>
      </c>
      <c r="C15" s="21">
        <f t="shared" si="12"/>
        <v>9</v>
      </c>
      <c r="D15" s="6">
        <v>45172</v>
      </c>
      <c r="E15" s="19">
        <f t="shared" si="13"/>
        <v>15</v>
      </c>
      <c r="F15" s="23">
        <v>44870</v>
      </c>
      <c r="G15" s="21">
        <f t="shared" si="14"/>
        <v>9</v>
      </c>
      <c r="H15" s="6">
        <v>45191</v>
      </c>
      <c r="I15" s="19">
        <f t="shared" si="15"/>
        <v>14</v>
      </c>
      <c r="J15" s="23">
        <v>44884</v>
      </c>
      <c r="K15" s="21">
        <f t="shared" si="16"/>
        <v>9</v>
      </c>
      <c r="L15" s="6">
        <v>45164</v>
      </c>
      <c r="M15" s="19">
        <f t="shared" si="0"/>
        <v>19</v>
      </c>
      <c r="N15" s="23">
        <v>44884</v>
      </c>
      <c r="O15" s="21">
        <f t="shared" si="1"/>
        <v>9</v>
      </c>
      <c r="P15" s="6">
        <v>45150</v>
      </c>
      <c r="Q15" s="19">
        <f t="shared" si="0"/>
        <v>13</v>
      </c>
      <c r="R15" s="23">
        <v>44884</v>
      </c>
      <c r="S15" s="21">
        <f t="shared" si="2"/>
        <v>9</v>
      </c>
      <c r="T15" s="6">
        <v>45188</v>
      </c>
      <c r="U15" s="19">
        <f t="shared" ref="U15" si="29">T15-T16</f>
        <v>8</v>
      </c>
      <c r="V15" s="23">
        <v>44868</v>
      </c>
      <c r="W15" s="21">
        <f t="shared" si="4"/>
        <v>9</v>
      </c>
      <c r="X15" s="6">
        <v>45126</v>
      </c>
      <c r="Y15" s="19">
        <v>12</v>
      </c>
      <c r="Z15" s="23">
        <v>44863</v>
      </c>
      <c r="AA15" s="21">
        <f t="shared" si="5"/>
        <v>9</v>
      </c>
      <c r="AB15" s="6">
        <v>45125</v>
      </c>
      <c r="AC15" s="19">
        <v>11</v>
      </c>
      <c r="AD15" s="23">
        <v>44840</v>
      </c>
      <c r="AE15" s="21">
        <f t="shared" si="7"/>
        <v>9</v>
      </c>
      <c r="AF15" s="6">
        <v>45043</v>
      </c>
      <c r="AG15" s="19">
        <f t="shared" si="8"/>
        <v>39</v>
      </c>
      <c r="AH15" s="23">
        <v>44839</v>
      </c>
      <c r="AI15" s="21"/>
      <c r="AJ15" s="6">
        <v>45049</v>
      </c>
      <c r="AK15" s="19">
        <f t="shared" si="8"/>
        <v>11</v>
      </c>
    </row>
    <row r="16" spans="1:42" x14ac:dyDescent="0.55000000000000004">
      <c r="A16" s="15" t="s">
        <v>16</v>
      </c>
      <c r="B16" s="23">
        <v>44861</v>
      </c>
      <c r="C16" s="21">
        <f t="shared" si="12"/>
        <v>9</v>
      </c>
      <c r="D16" s="6">
        <v>45157</v>
      </c>
      <c r="E16" s="19">
        <f t="shared" si="13"/>
        <v>11</v>
      </c>
      <c r="F16" s="23">
        <v>44861</v>
      </c>
      <c r="G16" s="21">
        <f t="shared" si="14"/>
        <v>9</v>
      </c>
      <c r="H16" s="6">
        <v>45177</v>
      </c>
      <c r="I16" s="19">
        <f t="shared" si="15"/>
        <v>14</v>
      </c>
      <c r="J16" s="23">
        <v>44875</v>
      </c>
      <c r="K16" s="21">
        <f t="shared" si="16"/>
        <v>9</v>
      </c>
      <c r="L16" s="6">
        <v>45145</v>
      </c>
      <c r="M16" s="19">
        <f t="shared" si="0"/>
        <v>15</v>
      </c>
      <c r="N16" s="23">
        <v>44875</v>
      </c>
      <c r="O16" s="21">
        <f t="shared" si="1"/>
        <v>9</v>
      </c>
      <c r="P16" s="6">
        <v>45137</v>
      </c>
      <c r="Q16" s="19">
        <f t="shared" si="0"/>
        <v>13</v>
      </c>
      <c r="R16" s="23">
        <v>44875</v>
      </c>
      <c r="S16" s="21">
        <f t="shared" si="2"/>
        <v>9</v>
      </c>
      <c r="T16" s="6">
        <v>45180</v>
      </c>
      <c r="U16" s="19">
        <f t="shared" ref="U16" si="30">T16-T17</f>
        <v>9</v>
      </c>
      <c r="V16" s="23">
        <v>44859</v>
      </c>
      <c r="W16" s="21">
        <f t="shared" si="4"/>
        <v>10</v>
      </c>
      <c r="X16" s="6">
        <v>45114</v>
      </c>
      <c r="Y16" s="19">
        <v>14</v>
      </c>
      <c r="Z16" s="23">
        <v>44854</v>
      </c>
      <c r="AA16" s="21">
        <f t="shared" si="5"/>
        <v>9</v>
      </c>
      <c r="AB16" s="6">
        <v>45114</v>
      </c>
      <c r="AC16" s="19">
        <v>16</v>
      </c>
      <c r="AD16" s="23">
        <v>44831</v>
      </c>
      <c r="AE16" s="21">
        <f t="shared" si="7"/>
        <v>11</v>
      </c>
      <c r="AF16" s="6">
        <v>45004</v>
      </c>
      <c r="AG16" s="19">
        <f t="shared" si="8"/>
        <v>21</v>
      </c>
      <c r="AH16" s="23">
        <v>44830</v>
      </c>
      <c r="AI16" s="21"/>
      <c r="AJ16" s="6">
        <v>45038</v>
      </c>
      <c r="AK16" s="19">
        <f t="shared" si="8"/>
        <v>39</v>
      </c>
    </row>
    <row r="17" spans="1:43" x14ac:dyDescent="0.55000000000000004">
      <c r="A17" s="15" t="s">
        <v>17</v>
      </c>
      <c r="B17" s="23">
        <v>44852</v>
      </c>
      <c r="C17" s="21">
        <f t="shared" si="12"/>
        <v>10</v>
      </c>
      <c r="D17" s="6">
        <v>45146</v>
      </c>
      <c r="E17" s="19">
        <f t="shared" si="13"/>
        <v>16</v>
      </c>
      <c r="F17" s="23">
        <v>44852</v>
      </c>
      <c r="G17" s="21">
        <f t="shared" si="14"/>
        <v>10</v>
      </c>
      <c r="H17" s="6">
        <v>45163</v>
      </c>
      <c r="I17" s="19">
        <f t="shared" si="15"/>
        <v>11</v>
      </c>
      <c r="J17" s="23">
        <v>44866</v>
      </c>
      <c r="K17" s="21">
        <f t="shared" si="16"/>
        <v>10</v>
      </c>
      <c r="L17" s="6">
        <v>45130</v>
      </c>
      <c r="M17" s="19">
        <f t="shared" si="0"/>
        <v>21</v>
      </c>
      <c r="N17" s="23">
        <v>44866</v>
      </c>
      <c r="O17" s="21">
        <f t="shared" si="1"/>
        <v>10</v>
      </c>
      <c r="P17" s="6">
        <v>45124</v>
      </c>
      <c r="Q17" s="19">
        <f t="shared" si="0"/>
        <v>24</v>
      </c>
      <c r="R17" s="23">
        <v>44866</v>
      </c>
      <c r="S17" s="21">
        <f t="shared" si="2"/>
        <v>10</v>
      </c>
      <c r="T17" s="6">
        <v>45171</v>
      </c>
      <c r="U17" s="19">
        <f t="shared" ref="U17" si="31">T17-T18</f>
        <v>15</v>
      </c>
      <c r="V17" s="23">
        <v>44849</v>
      </c>
      <c r="W17" s="21">
        <f t="shared" si="4"/>
        <v>9</v>
      </c>
      <c r="X17" s="6">
        <v>45100</v>
      </c>
      <c r="Y17" s="19">
        <v>12</v>
      </c>
      <c r="Z17" s="23">
        <v>44845</v>
      </c>
      <c r="AA17" s="21">
        <f t="shared" si="5"/>
        <v>10</v>
      </c>
      <c r="AB17" s="6">
        <v>45098</v>
      </c>
      <c r="AC17" s="19">
        <v>12</v>
      </c>
      <c r="AD17" s="23">
        <v>44820</v>
      </c>
      <c r="AE17" s="21">
        <f t="shared" si="7"/>
        <v>9</v>
      </c>
      <c r="AF17" s="6">
        <v>44983</v>
      </c>
      <c r="AG17" s="19">
        <f t="shared" si="8"/>
        <v>7</v>
      </c>
      <c r="AH17" s="23">
        <v>44819</v>
      </c>
      <c r="AI17" s="21"/>
      <c r="AJ17" s="6">
        <v>44999</v>
      </c>
      <c r="AK17" s="19">
        <f t="shared" si="8"/>
        <v>12</v>
      </c>
      <c r="AQ17" s="7"/>
    </row>
    <row r="18" spans="1:43" x14ac:dyDescent="0.55000000000000004">
      <c r="A18" s="15" t="s">
        <v>18</v>
      </c>
      <c r="B18" s="23">
        <v>44842</v>
      </c>
      <c r="C18" s="21">
        <f t="shared" si="12"/>
        <v>10</v>
      </c>
      <c r="D18" s="6">
        <v>45130</v>
      </c>
      <c r="E18" s="19">
        <f t="shared" si="13"/>
        <v>19</v>
      </c>
      <c r="F18" s="23">
        <v>44842</v>
      </c>
      <c r="G18" s="21">
        <f t="shared" si="14"/>
        <v>10</v>
      </c>
      <c r="H18" s="6">
        <v>45152</v>
      </c>
      <c r="I18" s="19">
        <f t="shared" si="15"/>
        <v>12</v>
      </c>
      <c r="J18" s="23">
        <v>44856</v>
      </c>
      <c r="K18" s="21">
        <f t="shared" si="16"/>
        <v>10</v>
      </c>
      <c r="L18" s="6">
        <v>45109</v>
      </c>
      <c r="M18" s="19">
        <f t="shared" si="0"/>
        <v>16</v>
      </c>
      <c r="N18" s="23">
        <v>44856</v>
      </c>
      <c r="O18" s="21">
        <f t="shared" si="1"/>
        <v>10</v>
      </c>
      <c r="P18" s="6">
        <v>45100</v>
      </c>
      <c r="Q18" s="19">
        <f t="shared" si="0"/>
        <v>9</v>
      </c>
      <c r="R18" s="23">
        <v>44856</v>
      </c>
      <c r="S18" s="21">
        <f t="shared" si="2"/>
        <v>10</v>
      </c>
      <c r="T18" s="6">
        <v>45156</v>
      </c>
      <c r="U18" s="19">
        <f t="shared" ref="U18" si="32">T18-T19</f>
        <v>13</v>
      </c>
      <c r="V18" s="23">
        <v>44840</v>
      </c>
      <c r="W18" s="21">
        <f t="shared" si="4"/>
        <v>10</v>
      </c>
      <c r="X18" s="6">
        <v>45088</v>
      </c>
      <c r="Y18" s="19">
        <v>11</v>
      </c>
      <c r="Z18" s="23">
        <v>44835</v>
      </c>
      <c r="AA18" s="21">
        <f t="shared" si="5"/>
        <v>10</v>
      </c>
      <c r="AB18" s="6">
        <v>45086</v>
      </c>
      <c r="AC18" s="19">
        <v>10</v>
      </c>
      <c r="AD18" s="23">
        <v>44811</v>
      </c>
      <c r="AE18" s="21">
        <f t="shared" si="7"/>
        <v>11</v>
      </c>
      <c r="AF18" s="6">
        <v>44976</v>
      </c>
      <c r="AG18" s="19">
        <f t="shared" si="8"/>
        <v>10</v>
      </c>
      <c r="AH18" s="23">
        <v>44810</v>
      </c>
      <c r="AI18" s="21"/>
      <c r="AJ18" s="6">
        <v>44987</v>
      </c>
      <c r="AK18" s="19">
        <f t="shared" si="8"/>
        <v>13</v>
      </c>
      <c r="AQ18" s="7"/>
    </row>
    <row r="19" spans="1:43" x14ac:dyDescent="0.55000000000000004">
      <c r="A19" s="14" t="s">
        <v>19</v>
      </c>
      <c r="B19" s="23">
        <v>44832</v>
      </c>
      <c r="C19" s="21">
        <f t="shared" si="12"/>
        <v>13</v>
      </c>
      <c r="D19" s="6">
        <v>45111</v>
      </c>
      <c r="E19" s="19">
        <f t="shared" si="13"/>
        <v>21</v>
      </c>
      <c r="F19" s="23">
        <v>44832</v>
      </c>
      <c r="G19" s="21">
        <f t="shared" si="14"/>
        <v>13</v>
      </c>
      <c r="H19" s="6">
        <v>45140</v>
      </c>
      <c r="I19" s="19">
        <f t="shared" si="15"/>
        <v>17</v>
      </c>
      <c r="J19" s="23">
        <v>44846</v>
      </c>
      <c r="K19" s="21">
        <f t="shared" si="16"/>
        <v>12</v>
      </c>
      <c r="L19" s="6">
        <v>45093</v>
      </c>
      <c r="M19" s="19">
        <f t="shared" si="0"/>
        <v>10</v>
      </c>
      <c r="N19" s="23">
        <v>44846</v>
      </c>
      <c r="O19" s="21">
        <f t="shared" si="1"/>
        <v>12</v>
      </c>
      <c r="P19" s="6">
        <v>45091</v>
      </c>
      <c r="Q19" s="19">
        <f t="shared" si="0"/>
        <v>10</v>
      </c>
      <c r="R19" s="23">
        <v>44846</v>
      </c>
      <c r="S19" s="21">
        <f t="shared" si="2"/>
        <v>12</v>
      </c>
      <c r="T19" s="6">
        <v>45143</v>
      </c>
      <c r="U19" s="19">
        <f t="shared" ref="U19" si="33">T19-T20</f>
        <v>43</v>
      </c>
      <c r="V19" s="23">
        <v>44830</v>
      </c>
      <c r="W19" s="21">
        <f t="shared" si="4"/>
        <v>13</v>
      </c>
      <c r="X19" s="6">
        <v>45077</v>
      </c>
      <c r="Y19" s="19">
        <v>12</v>
      </c>
      <c r="Z19" s="23">
        <v>44825</v>
      </c>
      <c r="AA19" s="21">
        <f t="shared" si="5"/>
        <v>13</v>
      </c>
      <c r="AB19" s="6">
        <v>45076</v>
      </c>
      <c r="AC19" s="19">
        <v>17</v>
      </c>
      <c r="AD19" s="23">
        <v>44800</v>
      </c>
      <c r="AE19" s="21">
        <f t="shared" si="7"/>
        <v>11</v>
      </c>
      <c r="AF19" s="6">
        <v>44966</v>
      </c>
      <c r="AG19" s="19">
        <f t="shared" si="8"/>
        <v>22</v>
      </c>
      <c r="AH19" s="23">
        <v>44799</v>
      </c>
      <c r="AI19" s="21"/>
      <c r="AJ19" s="6">
        <v>44974</v>
      </c>
      <c r="AK19" s="19">
        <f t="shared" si="8"/>
        <v>17</v>
      </c>
    </row>
    <row r="20" spans="1:43" x14ac:dyDescent="0.55000000000000004">
      <c r="A20" s="15" t="s">
        <v>20</v>
      </c>
      <c r="B20" s="23">
        <v>44819</v>
      </c>
      <c r="C20" s="21">
        <f t="shared" si="12"/>
        <v>12</v>
      </c>
      <c r="D20" s="6">
        <v>45090</v>
      </c>
      <c r="E20" s="19">
        <f t="shared" si="13"/>
        <v>15</v>
      </c>
      <c r="F20" s="23">
        <v>44819</v>
      </c>
      <c r="G20" s="21">
        <f t="shared" si="14"/>
        <v>12</v>
      </c>
      <c r="H20" s="6">
        <v>45123</v>
      </c>
      <c r="I20" s="19">
        <f t="shared" si="15"/>
        <v>16</v>
      </c>
      <c r="J20" s="23">
        <v>44834</v>
      </c>
      <c r="K20" s="21">
        <f t="shared" si="16"/>
        <v>11</v>
      </c>
      <c r="L20" s="6">
        <v>45083</v>
      </c>
      <c r="M20" s="19">
        <f t="shared" si="0"/>
        <v>9</v>
      </c>
      <c r="N20" s="23">
        <v>44834</v>
      </c>
      <c r="O20" s="21">
        <f t="shared" si="1"/>
        <v>11</v>
      </c>
      <c r="P20" s="6">
        <v>45081</v>
      </c>
      <c r="Q20" s="19">
        <f t="shared" si="0"/>
        <v>20</v>
      </c>
      <c r="R20" s="23">
        <v>44834</v>
      </c>
      <c r="S20" s="21">
        <f t="shared" si="2"/>
        <v>11</v>
      </c>
      <c r="T20" s="6">
        <v>45100</v>
      </c>
      <c r="U20" s="19">
        <f t="shared" ref="U20" si="34">T20-T21</f>
        <v>15</v>
      </c>
      <c r="V20" s="23">
        <v>44817</v>
      </c>
      <c r="W20" s="21">
        <f t="shared" si="4"/>
        <v>12</v>
      </c>
      <c r="X20" s="6">
        <v>45065</v>
      </c>
      <c r="Y20" s="19">
        <v>15</v>
      </c>
      <c r="Z20" s="23">
        <v>44812</v>
      </c>
      <c r="AA20" s="21">
        <f t="shared" si="5"/>
        <v>12</v>
      </c>
      <c r="AB20" s="6">
        <v>45059</v>
      </c>
      <c r="AC20" s="19">
        <v>14</v>
      </c>
      <c r="AD20" s="23">
        <v>44789</v>
      </c>
      <c r="AE20" s="21">
        <f t="shared" si="7"/>
        <v>13</v>
      </c>
      <c r="AF20" s="6">
        <v>44944</v>
      </c>
      <c r="AG20" s="19">
        <f t="shared" si="8"/>
        <v>17</v>
      </c>
      <c r="AH20" s="23">
        <v>44786</v>
      </c>
      <c r="AI20" s="21"/>
      <c r="AJ20" s="6">
        <v>44957</v>
      </c>
      <c r="AK20" s="19">
        <f t="shared" si="8"/>
        <v>19</v>
      </c>
    </row>
    <row r="21" spans="1:43" x14ac:dyDescent="0.55000000000000004">
      <c r="A21" s="15" t="s">
        <v>21</v>
      </c>
      <c r="B21" s="23">
        <v>44807</v>
      </c>
      <c r="C21" s="21">
        <f t="shared" si="12"/>
        <v>14</v>
      </c>
      <c r="D21" s="6">
        <v>45075</v>
      </c>
      <c r="E21" s="19">
        <f t="shared" si="13"/>
        <v>16</v>
      </c>
      <c r="F21" s="23">
        <v>44807</v>
      </c>
      <c r="G21" s="21">
        <f t="shared" si="14"/>
        <v>14</v>
      </c>
      <c r="H21" s="6">
        <v>45107</v>
      </c>
      <c r="I21" s="19">
        <f t="shared" si="15"/>
        <v>22</v>
      </c>
      <c r="J21" s="23">
        <v>44823</v>
      </c>
      <c r="K21" s="21">
        <f t="shared" si="16"/>
        <v>16</v>
      </c>
      <c r="L21" s="6">
        <v>45074</v>
      </c>
      <c r="M21" s="19">
        <f t="shared" si="0"/>
        <v>11</v>
      </c>
      <c r="N21" s="23">
        <v>44823</v>
      </c>
      <c r="O21" s="21">
        <f t="shared" si="1"/>
        <v>16</v>
      </c>
      <c r="P21" s="6">
        <v>45061</v>
      </c>
      <c r="Q21" s="19">
        <f t="shared" si="0"/>
        <v>21</v>
      </c>
      <c r="R21" s="23">
        <v>44823</v>
      </c>
      <c r="S21" s="21">
        <f t="shared" si="2"/>
        <v>16</v>
      </c>
      <c r="T21" s="6">
        <v>45085</v>
      </c>
      <c r="U21" s="19">
        <f t="shared" ref="U21" si="35">T21-T22</f>
        <v>24</v>
      </c>
      <c r="V21" s="23">
        <v>44805</v>
      </c>
      <c r="W21" s="21">
        <f t="shared" si="4"/>
        <v>14</v>
      </c>
      <c r="X21" s="6">
        <v>45050</v>
      </c>
      <c r="Y21" s="19">
        <v>19</v>
      </c>
      <c r="Z21" s="23">
        <v>44800</v>
      </c>
      <c r="AA21" s="21">
        <f t="shared" si="5"/>
        <v>15</v>
      </c>
      <c r="AB21" s="6">
        <v>45045</v>
      </c>
      <c r="AC21" s="19">
        <v>21</v>
      </c>
      <c r="AD21" s="23">
        <v>44776</v>
      </c>
      <c r="AE21" s="21">
        <f t="shared" si="7"/>
        <v>16</v>
      </c>
      <c r="AF21" s="6">
        <v>44927</v>
      </c>
      <c r="AG21" s="19">
        <f t="shared" si="8"/>
        <v>13</v>
      </c>
      <c r="AH21" s="23">
        <v>44775</v>
      </c>
      <c r="AI21" s="21"/>
      <c r="AJ21" s="6">
        <v>44938</v>
      </c>
      <c r="AK21" s="19">
        <f t="shared" si="8"/>
        <v>16</v>
      </c>
    </row>
    <row r="22" spans="1:43" x14ac:dyDescent="0.55000000000000004">
      <c r="A22" s="15" t="s">
        <v>22</v>
      </c>
      <c r="B22" s="23">
        <v>44793</v>
      </c>
      <c r="C22" s="21">
        <f t="shared" si="12"/>
        <v>31</v>
      </c>
      <c r="D22" s="6">
        <v>45059</v>
      </c>
      <c r="E22" s="19">
        <f t="shared" si="13"/>
        <v>30</v>
      </c>
      <c r="F22" s="23">
        <v>44793</v>
      </c>
      <c r="G22" s="21">
        <f t="shared" si="14"/>
        <v>31</v>
      </c>
      <c r="H22" s="6">
        <v>45085</v>
      </c>
      <c r="I22" s="19">
        <f t="shared" si="15"/>
        <v>43</v>
      </c>
      <c r="J22" s="23">
        <v>44807</v>
      </c>
      <c r="K22" s="21">
        <f t="shared" si="16"/>
        <v>31</v>
      </c>
      <c r="L22" s="6">
        <v>45063</v>
      </c>
      <c r="M22" s="19">
        <f t="shared" si="0"/>
        <v>22</v>
      </c>
      <c r="N22" s="23">
        <v>44807</v>
      </c>
      <c r="O22" s="21">
        <f t="shared" si="1"/>
        <v>31</v>
      </c>
      <c r="P22" s="6">
        <v>45040</v>
      </c>
      <c r="Q22" s="19">
        <f t="shared" si="0"/>
        <v>23</v>
      </c>
      <c r="R22" s="23">
        <v>44807</v>
      </c>
      <c r="S22" s="21">
        <f t="shared" si="2"/>
        <v>31</v>
      </c>
      <c r="T22" s="6">
        <v>45061</v>
      </c>
      <c r="U22" s="19">
        <f t="shared" ref="U22" si="36">T22-T23</f>
        <v>28</v>
      </c>
      <c r="V22" s="23">
        <v>44791</v>
      </c>
      <c r="W22" s="21">
        <f t="shared" si="4"/>
        <v>31</v>
      </c>
      <c r="X22" s="6">
        <v>45031</v>
      </c>
      <c r="Y22" s="19">
        <v>25</v>
      </c>
      <c r="Z22" s="23">
        <v>44785</v>
      </c>
      <c r="AA22" s="21">
        <f t="shared" si="5"/>
        <v>30</v>
      </c>
      <c r="AB22" s="6">
        <v>45024</v>
      </c>
      <c r="AC22" s="19">
        <v>20</v>
      </c>
      <c r="AD22" s="23">
        <v>44760</v>
      </c>
      <c r="AE22" s="21">
        <f t="shared" si="7"/>
        <v>32</v>
      </c>
      <c r="AF22" s="6">
        <v>44914</v>
      </c>
      <c r="AG22" s="19">
        <f t="shared" si="8"/>
        <v>20</v>
      </c>
      <c r="AH22" s="23">
        <v>44758</v>
      </c>
      <c r="AI22" s="21"/>
      <c r="AJ22" s="6">
        <v>44922</v>
      </c>
      <c r="AK22" s="19">
        <f t="shared" si="8"/>
        <v>16</v>
      </c>
    </row>
    <row r="23" spans="1:43" ht="23.5" customHeight="1" x14ac:dyDescent="0.55000000000000004">
      <c r="A23" s="15" t="s">
        <v>23</v>
      </c>
      <c r="B23" s="23">
        <v>44762</v>
      </c>
      <c r="C23" s="21">
        <f t="shared" si="12"/>
        <v>40</v>
      </c>
      <c r="D23" s="6">
        <v>45029</v>
      </c>
      <c r="E23" s="19">
        <f t="shared" si="13"/>
        <v>125</v>
      </c>
      <c r="F23" s="23">
        <v>44762</v>
      </c>
      <c r="G23" s="21">
        <f t="shared" si="14"/>
        <v>40</v>
      </c>
      <c r="H23" s="6">
        <v>45042</v>
      </c>
      <c r="I23" s="19">
        <f t="shared" si="15"/>
        <v>116</v>
      </c>
      <c r="J23" s="23">
        <v>44776</v>
      </c>
      <c r="K23" s="21">
        <f t="shared" si="16"/>
        <v>40</v>
      </c>
      <c r="L23" s="6">
        <v>45041</v>
      </c>
      <c r="M23" s="19">
        <f t="shared" si="0"/>
        <v>97</v>
      </c>
      <c r="N23" s="23">
        <v>44776</v>
      </c>
      <c r="O23" s="21">
        <f t="shared" si="1"/>
        <v>40</v>
      </c>
      <c r="P23" s="6">
        <v>45017</v>
      </c>
      <c r="Q23" s="19">
        <f t="shared" si="0"/>
        <v>71</v>
      </c>
      <c r="R23" s="23">
        <v>44776</v>
      </c>
      <c r="S23" s="21">
        <f t="shared" si="2"/>
        <v>40</v>
      </c>
      <c r="T23" s="6">
        <v>45033</v>
      </c>
      <c r="U23" s="19">
        <f t="shared" ref="U23" si="37">T23-T24</f>
        <v>115</v>
      </c>
      <c r="V23" s="23">
        <v>44760</v>
      </c>
      <c r="W23" s="21">
        <f t="shared" si="4"/>
        <v>40</v>
      </c>
      <c r="X23" s="6">
        <v>45006</v>
      </c>
      <c r="Y23" s="19">
        <v>97</v>
      </c>
      <c r="Z23" s="23">
        <v>44755</v>
      </c>
      <c r="AA23" s="21">
        <f t="shared" si="5"/>
        <v>40</v>
      </c>
      <c r="AB23" s="6">
        <v>45004</v>
      </c>
      <c r="AC23" s="19">
        <v>102</v>
      </c>
      <c r="AD23" s="23">
        <v>44728</v>
      </c>
      <c r="AE23" s="21">
        <f t="shared" si="7"/>
        <v>40</v>
      </c>
      <c r="AF23" s="6">
        <v>44894</v>
      </c>
      <c r="AG23" s="19">
        <f t="shared" si="8"/>
        <v>101</v>
      </c>
      <c r="AH23" s="23">
        <v>44727</v>
      </c>
      <c r="AI23" s="21"/>
      <c r="AJ23" s="6">
        <v>44906</v>
      </c>
      <c r="AK23" s="19">
        <f t="shared" si="8"/>
        <v>127</v>
      </c>
    </row>
    <row r="24" spans="1:43" ht="23.5" customHeight="1" x14ac:dyDescent="0.55000000000000004">
      <c r="A24" s="14" t="s">
        <v>24</v>
      </c>
      <c r="B24" s="23">
        <v>44722</v>
      </c>
      <c r="C24" s="21">
        <f t="shared" si="12"/>
        <v>17</v>
      </c>
      <c r="D24" s="6">
        <v>44904</v>
      </c>
      <c r="E24" s="19">
        <f t="shared" si="13"/>
        <v>18</v>
      </c>
      <c r="F24" s="23">
        <v>44722</v>
      </c>
      <c r="G24" s="21">
        <f t="shared" si="14"/>
        <v>17</v>
      </c>
      <c r="H24" s="6">
        <v>44926</v>
      </c>
      <c r="I24" s="19">
        <f t="shared" si="15"/>
        <v>13</v>
      </c>
      <c r="J24" s="23">
        <v>44736</v>
      </c>
      <c r="K24" s="21">
        <f t="shared" si="16"/>
        <v>17</v>
      </c>
      <c r="L24" s="6">
        <v>44944</v>
      </c>
      <c r="M24" s="19">
        <f t="shared" si="0"/>
        <v>19</v>
      </c>
      <c r="N24" s="23">
        <v>44736</v>
      </c>
      <c r="O24" s="21">
        <f t="shared" si="1"/>
        <v>17</v>
      </c>
      <c r="P24" s="6">
        <v>44946</v>
      </c>
      <c r="Q24" s="19">
        <f t="shared" si="0"/>
        <v>23</v>
      </c>
      <c r="R24" s="23">
        <v>44736</v>
      </c>
      <c r="S24" s="21">
        <f t="shared" si="2"/>
        <v>17</v>
      </c>
      <c r="T24" s="6">
        <v>44918</v>
      </c>
      <c r="U24" s="19">
        <f t="shared" ref="U24" si="38">T24-T25</f>
        <v>20</v>
      </c>
      <c r="V24" s="23">
        <v>44720</v>
      </c>
      <c r="W24" s="21">
        <f t="shared" si="4"/>
        <v>18</v>
      </c>
      <c r="X24" s="6">
        <v>44909</v>
      </c>
      <c r="Y24" s="19">
        <v>22</v>
      </c>
      <c r="Z24" s="23">
        <v>44715</v>
      </c>
      <c r="AA24" s="21">
        <f t="shared" si="5"/>
        <v>17</v>
      </c>
      <c r="AB24" s="6">
        <v>44902</v>
      </c>
      <c r="AC24" s="19">
        <v>37</v>
      </c>
      <c r="AD24" s="23">
        <v>44688</v>
      </c>
      <c r="AE24" s="21">
        <f t="shared" si="7"/>
        <v>17</v>
      </c>
      <c r="AF24" s="6">
        <v>44793</v>
      </c>
      <c r="AG24" s="19">
        <f t="shared" si="8"/>
        <v>40</v>
      </c>
      <c r="AH24" s="23">
        <v>44687</v>
      </c>
      <c r="AI24" s="21"/>
      <c r="AJ24" s="6">
        <v>44779</v>
      </c>
      <c r="AK24" s="19">
        <f t="shared" si="8"/>
        <v>42</v>
      </c>
    </row>
    <row r="25" spans="1:43" x14ac:dyDescent="0.55000000000000004">
      <c r="A25" s="14" t="s">
        <v>25</v>
      </c>
      <c r="B25" s="23">
        <v>44705</v>
      </c>
      <c r="C25" s="21">
        <f t="shared" si="12"/>
        <v>18</v>
      </c>
      <c r="D25" s="6">
        <v>44886</v>
      </c>
      <c r="E25" s="19">
        <f t="shared" si="13"/>
        <v>21</v>
      </c>
      <c r="F25" s="23">
        <v>44705</v>
      </c>
      <c r="G25" s="21">
        <f t="shared" si="14"/>
        <v>18</v>
      </c>
      <c r="H25" s="6">
        <v>44913</v>
      </c>
      <c r="I25" s="19">
        <f t="shared" si="15"/>
        <v>26</v>
      </c>
      <c r="J25" s="23">
        <v>44719</v>
      </c>
      <c r="K25" s="21">
        <f t="shared" si="16"/>
        <v>18</v>
      </c>
      <c r="L25" s="6">
        <v>44925</v>
      </c>
      <c r="M25" s="19">
        <f t="shared" si="0"/>
        <v>30</v>
      </c>
      <c r="N25" s="23">
        <v>44719</v>
      </c>
      <c r="O25" s="21">
        <f t="shared" si="1"/>
        <v>18</v>
      </c>
      <c r="P25" s="6">
        <v>44923</v>
      </c>
      <c r="Q25" s="19">
        <f t="shared" si="0"/>
        <v>32</v>
      </c>
      <c r="R25" s="23">
        <v>44719</v>
      </c>
      <c r="S25" s="21">
        <f t="shared" si="2"/>
        <v>18</v>
      </c>
      <c r="T25" s="6">
        <v>44898</v>
      </c>
      <c r="U25" s="19">
        <f t="shared" ref="U25" si="39">T25-T26</f>
        <v>23</v>
      </c>
      <c r="V25" s="23">
        <v>44702</v>
      </c>
      <c r="W25" s="21">
        <f t="shared" si="4"/>
        <v>17</v>
      </c>
      <c r="X25" s="6">
        <v>44887</v>
      </c>
      <c r="Y25" s="19">
        <v>32</v>
      </c>
      <c r="Z25" s="23">
        <v>44698</v>
      </c>
      <c r="AA25" s="21">
        <f t="shared" si="5"/>
        <v>18</v>
      </c>
      <c r="AB25" s="6">
        <v>44865</v>
      </c>
      <c r="AC25" s="19">
        <v>34</v>
      </c>
      <c r="AD25" s="23">
        <v>44671</v>
      </c>
      <c r="AE25" s="21">
        <f t="shared" si="7"/>
        <v>19</v>
      </c>
      <c r="AF25" s="6">
        <v>44753</v>
      </c>
      <c r="AG25" s="19">
        <f t="shared" si="8"/>
        <v>59</v>
      </c>
      <c r="AH25" s="23">
        <v>44670</v>
      </c>
      <c r="AI25" s="21"/>
      <c r="AJ25" s="6">
        <v>44737</v>
      </c>
      <c r="AK25" s="19">
        <f t="shared" si="8"/>
        <v>64</v>
      </c>
    </row>
    <row r="26" spans="1:43" x14ac:dyDescent="0.55000000000000004">
      <c r="A26" s="15" t="s">
        <v>26</v>
      </c>
      <c r="B26" s="23">
        <v>44687</v>
      </c>
      <c r="C26" s="21">
        <f t="shared" si="12"/>
        <v>21</v>
      </c>
      <c r="D26" s="6">
        <v>44865</v>
      </c>
      <c r="E26" s="19">
        <f t="shared" si="13"/>
        <v>24</v>
      </c>
      <c r="F26" s="23">
        <v>44687</v>
      </c>
      <c r="G26" s="21">
        <f t="shared" si="14"/>
        <v>21</v>
      </c>
      <c r="H26" s="6">
        <v>44887</v>
      </c>
      <c r="I26" s="19">
        <f t="shared" si="15"/>
        <v>20</v>
      </c>
      <c r="J26" s="23">
        <v>44701</v>
      </c>
      <c r="K26" s="21">
        <f t="shared" si="16"/>
        <v>21</v>
      </c>
      <c r="L26" s="6">
        <v>44895</v>
      </c>
      <c r="M26" s="19">
        <f t="shared" si="0"/>
        <v>21</v>
      </c>
      <c r="N26" s="23">
        <v>44701</v>
      </c>
      <c r="O26" s="21">
        <f t="shared" si="1"/>
        <v>21</v>
      </c>
      <c r="P26" s="6">
        <v>44891</v>
      </c>
      <c r="Q26" s="19">
        <f t="shared" si="0"/>
        <v>18</v>
      </c>
      <c r="R26" s="23">
        <v>44701</v>
      </c>
      <c r="S26" s="21">
        <f t="shared" si="2"/>
        <v>21</v>
      </c>
      <c r="T26" s="6">
        <v>44875</v>
      </c>
      <c r="U26" s="19">
        <f t="shared" ref="U26" si="40">T26-T27</f>
        <v>15</v>
      </c>
      <c r="V26" s="23">
        <v>44685</v>
      </c>
      <c r="W26" s="21">
        <f t="shared" si="4"/>
        <v>21</v>
      </c>
      <c r="X26" s="6">
        <v>44855</v>
      </c>
      <c r="Y26" s="19">
        <v>21</v>
      </c>
      <c r="Z26" s="23">
        <v>44680</v>
      </c>
      <c r="AA26" s="21">
        <f t="shared" si="5"/>
        <v>21</v>
      </c>
      <c r="AB26" s="6">
        <v>44831</v>
      </c>
      <c r="AC26" s="19">
        <v>23</v>
      </c>
      <c r="AD26" s="23">
        <v>44652</v>
      </c>
      <c r="AE26" s="21">
        <f t="shared" si="7"/>
        <v>21</v>
      </c>
      <c r="AF26" s="6">
        <v>44694</v>
      </c>
      <c r="AG26" s="19">
        <f t="shared" si="8"/>
        <v>42</v>
      </c>
      <c r="AH26" s="23">
        <v>44651</v>
      </c>
      <c r="AI26" s="21"/>
      <c r="AJ26" s="6">
        <v>44673</v>
      </c>
      <c r="AK26" s="19">
        <f t="shared" si="8"/>
        <v>38</v>
      </c>
    </row>
    <row r="27" spans="1:43" x14ac:dyDescent="0.55000000000000004">
      <c r="A27" s="14" t="s">
        <v>27</v>
      </c>
      <c r="B27" s="23">
        <v>44666</v>
      </c>
      <c r="C27" s="21">
        <f t="shared" si="12"/>
        <v>29</v>
      </c>
      <c r="D27" s="6">
        <v>44841</v>
      </c>
      <c r="E27" s="19">
        <f t="shared" si="13"/>
        <v>41</v>
      </c>
      <c r="F27" s="23">
        <v>44666</v>
      </c>
      <c r="G27" s="21">
        <f t="shared" si="14"/>
        <v>29</v>
      </c>
      <c r="H27" s="6">
        <v>44867</v>
      </c>
      <c r="I27" s="19">
        <f t="shared" si="15"/>
        <v>51</v>
      </c>
      <c r="J27" s="23">
        <v>44680</v>
      </c>
      <c r="K27" s="21">
        <f t="shared" si="16"/>
        <v>29</v>
      </c>
      <c r="L27" s="6">
        <v>44874</v>
      </c>
      <c r="M27" s="19">
        <f t="shared" si="0"/>
        <v>40</v>
      </c>
      <c r="N27" s="23">
        <v>44680</v>
      </c>
      <c r="O27" s="21">
        <f t="shared" si="1"/>
        <v>29</v>
      </c>
      <c r="P27" s="6">
        <v>44873</v>
      </c>
      <c r="Q27" s="19">
        <f t="shared" si="0"/>
        <v>41</v>
      </c>
      <c r="R27" s="23">
        <v>44680</v>
      </c>
      <c r="S27" s="21">
        <f t="shared" si="2"/>
        <v>29</v>
      </c>
      <c r="T27" s="6">
        <v>44860</v>
      </c>
      <c r="U27" s="19">
        <f t="shared" ref="U27" si="41">T27-T28</f>
        <v>34</v>
      </c>
      <c r="V27" s="23">
        <v>44664</v>
      </c>
      <c r="W27" s="21">
        <f t="shared" si="4"/>
        <v>29</v>
      </c>
      <c r="X27" s="6">
        <v>44834</v>
      </c>
      <c r="Y27" s="19">
        <v>27</v>
      </c>
      <c r="Z27" s="23">
        <v>44659</v>
      </c>
      <c r="AA27" s="21">
        <f t="shared" si="5"/>
        <v>29</v>
      </c>
      <c r="AB27" s="6">
        <v>44808</v>
      </c>
      <c r="AC27" s="19">
        <v>64</v>
      </c>
      <c r="AD27" s="23">
        <v>44631</v>
      </c>
      <c r="AE27" s="21">
        <f t="shared" si="7"/>
        <v>30</v>
      </c>
      <c r="AF27" s="6">
        <v>44652</v>
      </c>
      <c r="AG27" s="19">
        <f t="shared" si="8"/>
        <v>35</v>
      </c>
      <c r="AH27" s="23">
        <v>44630</v>
      </c>
      <c r="AI27" s="21"/>
      <c r="AJ27" s="6">
        <v>44635</v>
      </c>
      <c r="AK27" s="19">
        <f t="shared" si="8"/>
        <v>18</v>
      </c>
    </row>
    <row r="28" spans="1:43" x14ac:dyDescent="0.55000000000000004">
      <c r="A28" s="15" t="s">
        <v>28</v>
      </c>
      <c r="B28" s="23">
        <v>44637</v>
      </c>
      <c r="C28" s="21">
        <f t="shared" si="12"/>
        <v>19</v>
      </c>
      <c r="D28" s="6">
        <v>44800</v>
      </c>
      <c r="E28" s="19">
        <f t="shared" si="13"/>
        <v>149</v>
      </c>
      <c r="F28" s="23">
        <v>44637</v>
      </c>
      <c r="G28" s="21">
        <f t="shared" si="14"/>
        <v>19</v>
      </c>
      <c r="H28" s="6">
        <v>44816</v>
      </c>
      <c r="I28" s="19">
        <f>H28-H29</f>
        <v>152</v>
      </c>
      <c r="J28" s="23">
        <v>44651</v>
      </c>
      <c r="K28" s="21">
        <f t="shared" si="16"/>
        <v>19</v>
      </c>
      <c r="L28" s="6">
        <v>44834</v>
      </c>
      <c r="M28" s="19">
        <f>L28-L29</f>
        <v>23</v>
      </c>
      <c r="N28" s="23">
        <v>44651</v>
      </c>
      <c r="O28" s="21">
        <f t="shared" si="1"/>
        <v>19</v>
      </c>
      <c r="P28" s="6">
        <v>44832</v>
      </c>
      <c r="Q28" s="19">
        <f>P28-P29</f>
        <v>25</v>
      </c>
      <c r="R28" s="23">
        <v>44651</v>
      </c>
      <c r="S28" s="21">
        <f t="shared" si="2"/>
        <v>19</v>
      </c>
      <c r="T28" s="6">
        <v>44826</v>
      </c>
      <c r="U28" s="19">
        <f>T28-T29</f>
        <v>73</v>
      </c>
      <c r="V28" s="23">
        <v>44635</v>
      </c>
      <c r="W28" s="21">
        <f t="shared" si="4"/>
        <v>19</v>
      </c>
      <c r="X28" s="6">
        <v>44807</v>
      </c>
      <c r="Y28" s="19">
        <v>56</v>
      </c>
      <c r="Z28" s="23">
        <v>44630</v>
      </c>
      <c r="AA28" s="21">
        <f t="shared" si="5"/>
        <v>19</v>
      </c>
      <c r="AB28" s="6">
        <v>44744</v>
      </c>
      <c r="AC28" s="19">
        <v>39</v>
      </c>
      <c r="AD28" s="23">
        <v>44601</v>
      </c>
      <c r="AE28" s="21">
        <f t="shared" si="7"/>
        <v>20</v>
      </c>
      <c r="AF28" s="6">
        <v>44617</v>
      </c>
      <c r="AG28" s="19">
        <f>AF28-AF29</f>
        <v>14</v>
      </c>
      <c r="AH28" s="23">
        <v>44600</v>
      </c>
      <c r="AI28" s="21"/>
      <c r="AJ28" s="6">
        <v>44617</v>
      </c>
      <c r="AK28" s="19">
        <f>AJ28-AJ29</f>
        <v>46</v>
      </c>
    </row>
    <row r="29" spans="1:43" ht="24" thickBot="1" x14ac:dyDescent="0.6">
      <c r="A29" s="16" t="s">
        <v>29</v>
      </c>
      <c r="B29" s="24">
        <v>44618</v>
      </c>
      <c r="C29" s="22">
        <v>38</v>
      </c>
      <c r="D29" s="8">
        <v>44651</v>
      </c>
      <c r="E29" s="20">
        <v>38</v>
      </c>
      <c r="F29" s="24">
        <v>44618</v>
      </c>
      <c r="G29" s="22">
        <v>38</v>
      </c>
      <c r="H29" s="8">
        <v>44664</v>
      </c>
      <c r="I29" s="20">
        <v>35</v>
      </c>
      <c r="J29" s="24">
        <v>44632</v>
      </c>
      <c r="K29" s="22">
        <v>38</v>
      </c>
      <c r="L29" s="8">
        <v>44811</v>
      </c>
      <c r="M29" s="20">
        <v>27</v>
      </c>
      <c r="N29" s="24">
        <v>44632</v>
      </c>
      <c r="O29" s="22">
        <v>38</v>
      </c>
      <c r="P29" s="8">
        <v>44807</v>
      </c>
      <c r="Q29" s="20">
        <v>44</v>
      </c>
      <c r="R29" s="24">
        <v>44632</v>
      </c>
      <c r="S29" s="22">
        <v>38</v>
      </c>
      <c r="T29" s="8">
        <v>44753</v>
      </c>
      <c r="U29" s="20">
        <v>44</v>
      </c>
      <c r="V29" s="24">
        <v>44616</v>
      </c>
      <c r="W29" s="22">
        <v>38</v>
      </c>
      <c r="X29" s="8">
        <v>44751</v>
      </c>
      <c r="Y29" s="20">
        <v>90</v>
      </c>
      <c r="Z29" s="24">
        <v>44611</v>
      </c>
      <c r="AA29" s="22">
        <v>38</v>
      </c>
      <c r="AB29" s="8">
        <v>44705</v>
      </c>
      <c r="AC29" s="20">
        <v>56</v>
      </c>
      <c r="AD29" s="24">
        <v>44581</v>
      </c>
      <c r="AE29" s="22">
        <v>38</v>
      </c>
      <c r="AF29" s="8">
        <v>44603</v>
      </c>
      <c r="AG29" s="20">
        <v>46</v>
      </c>
      <c r="AH29" s="24">
        <v>44580</v>
      </c>
      <c r="AI29" s="22"/>
      <c r="AJ29" s="8">
        <v>44571</v>
      </c>
      <c r="AK29" s="20">
        <v>23</v>
      </c>
    </row>
    <row r="30" spans="1:43" ht="24" thickBot="1" x14ac:dyDescent="0.6">
      <c r="A30" s="9" t="s">
        <v>30</v>
      </c>
      <c r="B30" s="62" t="s">
        <v>31</v>
      </c>
      <c r="C30" s="62"/>
      <c r="D30" s="62"/>
      <c r="E30" s="63"/>
      <c r="F30" s="64" t="s">
        <v>32</v>
      </c>
      <c r="G30" s="65"/>
      <c r="H30" s="65" t="s">
        <v>32</v>
      </c>
      <c r="I30" s="66"/>
      <c r="J30" s="64" t="s">
        <v>33</v>
      </c>
      <c r="K30" s="65"/>
      <c r="L30" s="65" t="s">
        <v>33</v>
      </c>
      <c r="M30" s="66"/>
      <c r="N30" s="64" t="s">
        <v>34</v>
      </c>
      <c r="O30" s="65"/>
      <c r="P30" s="65" t="s">
        <v>34</v>
      </c>
      <c r="Q30" s="66"/>
      <c r="R30" s="64" t="s">
        <v>35</v>
      </c>
      <c r="S30" s="65"/>
      <c r="T30" s="65" t="s">
        <v>35</v>
      </c>
      <c r="U30" s="66"/>
      <c r="V30" s="64" t="s">
        <v>36</v>
      </c>
      <c r="W30" s="65"/>
      <c r="X30" s="65" t="s">
        <v>36</v>
      </c>
      <c r="Y30" s="66"/>
      <c r="Z30" s="64" t="s">
        <v>37</v>
      </c>
      <c r="AA30" s="65"/>
      <c r="AB30" s="65" t="s">
        <v>37</v>
      </c>
      <c r="AC30" s="66"/>
      <c r="AD30" s="64" t="s">
        <v>38</v>
      </c>
      <c r="AE30" s="65"/>
      <c r="AF30" s="65" t="s">
        <v>38</v>
      </c>
      <c r="AG30" s="66"/>
      <c r="AH30" s="64" t="s">
        <v>39</v>
      </c>
      <c r="AI30" s="65"/>
      <c r="AJ30" s="65" t="s">
        <v>39</v>
      </c>
      <c r="AK30" s="66"/>
    </row>
    <row r="32" spans="1:43" x14ac:dyDescent="0.55000000000000004">
      <c r="J32" s="1">
        <f>L5-AJ29</f>
        <v>792</v>
      </c>
      <c r="M32" s="11"/>
      <c r="N32" s="11"/>
      <c r="O32" s="11"/>
      <c r="U32" s="11"/>
      <c r="V32" s="11"/>
      <c r="W32" s="11"/>
    </row>
    <row r="33" spans="13:31" x14ac:dyDescent="0.55000000000000004">
      <c r="M33" s="11"/>
      <c r="N33" s="11"/>
      <c r="O33" s="11"/>
      <c r="P33" s="11"/>
      <c r="Q33" s="11"/>
      <c r="R33" s="11"/>
      <c r="S33" s="11"/>
      <c r="U33" s="11"/>
      <c r="V33" s="11"/>
      <c r="W33" s="11"/>
    </row>
    <row r="34" spans="13:31" x14ac:dyDescent="0.55000000000000004">
      <c r="P34" s="11"/>
      <c r="Q34" s="11"/>
      <c r="R34" s="11"/>
      <c r="S34" s="11"/>
      <c r="U34" s="12"/>
      <c r="V34" s="12"/>
      <c r="W34" s="12"/>
      <c r="AC34" s="11"/>
      <c r="AD34" s="11"/>
      <c r="AE34" s="11"/>
    </row>
    <row r="35" spans="13:31" x14ac:dyDescent="0.55000000000000004">
      <c r="Q35" s="11"/>
      <c r="R35" s="11"/>
      <c r="S35" s="11"/>
      <c r="AC35" s="11"/>
      <c r="AD35" s="11"/>
      <c r="AE35" s="11"/>
    </row>
    <row r="36" spans="13:31" x14ac:dyDescent="0.55000000000000004">
      <c r="Q36" s="11"/>
      <c r="R36" s="11"/>
      <c r="S36" s="11"/>
    </row>
  </sheetData>
  <mergeCells count="11">
    <mergeCell ref="A1:AK2"/>
    <mergeCell ref="A3:AK3"/>
    <mergeCell ref="B30:E30"/>
    <mergeCell ref="AH30:AK30"/>
    <mergeCell ref="F30:I30"/>
    <mergeCell ref="J30:M30"/>
    <mergeCell ref="N30:Q30"/>
    <mergeCell ref="R30:U30"/>
    <mergeCell ref="V30:Y30"/>
    <mergeCell ref="Z30:AC30"/>
    <mergeCell ref="AD30:AG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5" orientation="landscape" r:id="rId1"/>
  <headerFooter>
    <oddFooter>&amp;L_x000D_&amp;1#&amp;"Aptos"&amp;8&amp;K0078D7 Sensitivity : This Document is Classified as "LNT Internal Use".&amp;C&amp;"-,Bold"&amp;14Page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A4FE-8522-4FBE-A054-BE0521DB7D94}">
  <dimension ref="A1:L28"/>
  <sheetViews>
    <sheetView topLeftCell="A9" workbookViewId="0">
      <selection activeCell="D29" sqref="D29"/>
    </sheetView>
  </sheetViews>
  <sheetFormatPr defaultRowHeight="14.5" x14ac:dyDescent="0.35"/>
  <cols>
    <col min="1" max="1" width="10.1796875" bestFit="1" customWidth="1"/>
  </cols>
  <sheetData>
    <row r="1" spans="1:11" x14ac:dyDescent="0.35">
      <c r="A1" s="26" t="s">
        <v>41</v>
      </c>
      <c r="B1" s="26" t="s">
        <v>31</v>
      </c>
      <c r="C1" s="26" t="s">
        <v>32</v>
      </c>
      <c r="D1" s="26" t="s">
        <v>33</v>
      </c>
      <c r="E1" s="26" t="s">
        <v>34</v>
      </c>
      <c r="F1" s="26" t="s">
        <v>35</v>
      </c>
      <c r="G1" s="26" t="s">
        <v>36</v>
      </c>
      <c r="H1" s="26" t="s">
        <v>37</v>
      </c>
      <c r="I1" s="26" t="s">
        <v>38</v>
      </c>
      <c r="J1" s="26" t="s">
        <v>39</v>
      </c>
      <c r="K1" s="26" t="s">
        <v>68</v>
      </c>
    </row>
    <row r="2" spans="1:11" x14ac:dyDescent="0.35">
      <c r="A2" s="27" t="s">
        <v>42</v>
      </c>
      <c r="B2" s="25">
        <v>300</v>
      </c>
      <c r="C2" s="25">
        <v>300</v>
      </c>
      <c r="D2" s="25">
        <v>500</v>
      </c>
      <c r="E2" s="25">
        <v>424</v>
      </c>
      <c r="F2" s="25">
        <v>480</v>
      </c>
      <c r="G2" s="25">
        <v>270</v>
      </c>
      <c r="H2" s="25">
        <v>284</v>
      </c>
      <c r="I2" s="25">
        <v>300</v>
      </c>
      <c r="J2" s="25">
        <v>300</v>
      </c>
      <c r="K2" s="29">
        <f>SUM(B2:J2)</f>
        <v>3158</v>
      </c>
    </row>
    <row r="3" spans="1:11" x14ac:dyDescent="0.35">
      <c r="A3" s="27" t="s">
        <v>43</v>
      </c>
      <c r="B3" s="25"/>
      <c r="C3" s="25"/>
      <c r="D3" s="25"/>
      <c r="E3" s="25"/>
      <c r="F3" s="25"/>
      <c r="G3" s="25"/>
      <c r="H3" s="25"/>
      <c r="I3" s="25"/>
      <c r="J3" s="25"/>
      <c r="K3" s="29">
        <f t="shared" ref="K3:K28" si="0">SUM(B3:J3)</f>
        <v>0</v>
      </c>
    </row>
    <row r="4" spans="1:11" ht="29" x14ac:dyDescent="0.35">
      <c r="A4" s="27" t="s">
        <v>44</v>
      </c>
      <c r="B4" s="25">
        <f>67+100</f>
        <v>167</v>
      </c>
      <c r="C4" s="25">
        <f>67+100</f>
        <v>167</v>
      </c>
      <c r="D4" s="25">
        <v>93</v>
      </c>
      <c r="E4" s="25">
        <v>89</v>
      </c>
      <c r="F4" s="25">
        <v>88</v>
      </c>
      <c r="G4" s="25">
        <v>56</v>
      </c>
      <c r="H4" s="25">
        <v>79</v>
      </c>
      <c r="I4" s="25">
        <v>200</v>
      </c>
      <c r="J4" s="25">
        <v>200</v>
      </c>
      <c r="K4" s="29">
        <f t="shared" si="0"/>
        <v>1139</v>
      </c>
    </row>
    <row r="5" spans="1:11" x14ac:dyDescent="0.35">
      <c r="A5" s="27" t="s">
        <v>45</v>
      </c>
      <c r="B5" s="25">
        <v>102</v>
      </c>
      <c r="C5" s="25">
        <v>118</v>
      </c>
      <c r="D5" s="25">
        <v>156</v>
      </c>
      <c r="E5" s="25">
        <v>182</v>
      </c>
      <c r="F5" s="25">
        <v>179</v>
      </c>
      <c r="G5" s="25">
        <v>102</v>
      </c>
      <c r="H5" s="25">
        <v>113</v>
      </c>
      <c r="I5" s="25">
        <v>140</v>
      </c>
      <c r="J5" s="25">
        <v>150</v>
      </c>
      <c r="K5" s="29">
        <f t="shared" si="0"/>
        <v>1242</v>
      </c>
    </row>
    <row r="6" spans="1:11" x14ac:dyDescent="0.35">
      <c r="A6" s="27" t="s">
        <v>46</v>
      </c>
      <c r="B6" s="25">
        <v>79</v>
      </c>
      <c r="C6" s="25">
        <v>100</v>
      </c>
      <c r="D6" s="25">
        <v>109</v>
      </c>
      <c r="E6" s="25">
        <v>151</v>
      </c>
      <c r="F6" s="25">
        <v>149</v>
      </c>
      <c r="G6" s="25">
        <v>85</v>
      </c>
      <c r="H6" s="25">
        <v>96</v>
      </c>
      <c r="I6" s="25">
        <v>120</v>
      </c>
      <c r="J6" s="25">
        <v>120</v>
      </c>
      <c r="K6" s="29">
        <f t="shared" si="0"/>
        <v>1009</v>
      </c>
    </row>
    <row r="7" spans="1:11" x14ac:dyDescent="0.35">
      <c r="A7" s="27" t="s">
        <v>47</v>
      </c>
      <c r="B7" s="25">
        <v>93</v>
      </c>
      <c r="C7" s="25">
        <v>98</v>
      </c>
      <c r="D7" s="25">
        <v>108</v>
      </c>
      <c r="E7" s="25">
        <v>100</v>
      </c>
      <c r="F7" s="25">
        <v>126</v>
      </c>
      <c r="G7" s="25">
        <v>102</v>
      </c>
      <c r="H7" s="25">
        <v>103</v>
      </c>
      <c r="I7" s="25">
        <v>168</v>
      </c>
      <c r="J7" s="25">
        <v>180</v>
      </c>
      <c r="K7" s="29">
        <f t="shared" si="0"/>
        <v>1078</v>
      </c>
    </row>
    <row r="8" spans="1:11" x14ac:dyDescent="0.35">
      <c r="A8" s="27" t="s">
        <v>48</v>
      </c>
      <c r="B8" s="25">
        <v>137</v>
      </c>
      <c r="C8" s="25">
        <v>136</v>
      </c>
      <c r="D8" s="25">
        <v>190</v>
      </c>
      <c r="E8" s="25">
        <v>182</v>
      </c>
      <c r="F8" s="25">
        <v>179</v>
      </c>
      <c r="G8" s="25">
        <v>114</v>
      </c>
      <c r="H8" s="25">
        <v>161</v>
      </c>
      <c r="I8" s="25">
        <v>180</v>
      </c>
      <c r="J8" s="25">
        <v>161</v>
      </c>
      <c r="K8" s="29">
        <f t="shared" si="0"/>
        <v>1440</v>
      </c>
    </row>
    <row r="9" spans="1:11" x14ac:dyDescent="0.35">
      <c r="A9" s="27" t="s">
        <v>49</v>
      </c>
      <c r="B9" s="25">
        <v>135</v>
      </c>
      <c r="C9" s="25">
        <v>132</v>
      </c>
      <c r="D9" s="25">
        <v>189</v>
      </c>
      <c r="E9" s="25">
        <v>175</v>
      </c>
      <c r="F9" s="25">
        <v>173</v>
      </c>
      <c r="G9" s="25">
        <v>121</v>
      </c>
      <c r="H9" s="25">
        <v>150</v>
      </c>
      <c r="I9" s="25">
        <v>160</v>
      </c>
      <c r="J9" s="25">
        <v>150</v>
      </c>
      <c r="K9" s="29">
        <f t="shared" si="0"/>
        <v>1385</v>
      </c>
    </row>
    <row r="10" spans="1:11" x14ac:dyDescent="0.35">
      <c r="A10" s="27" t="s">
        <v>50</v>
      </c>
      <c r="B10" s="25">
        <v>135</v>
      </c>
      <c r="C10" s="25">
        <v>132</v>
      </c>
      <c r="D10" s="25">
        <v>189</v>
      </c>
      <c r="E10" s="25">
        <v>175</v>
      </c>
      <c r="F10" s="25">
        <v>173</v>
      </c>
      <c r="G10" s="25">
        <v>121</v>
      </c>
      <c r="H10" s="25">
        <v>150</v>
      </c>
      <c r="I10" s="25">
        <v>160</v>
      </c>
      <c r="J10" s="25">
        <v>150</v>
      </c>
      <c r="K10" s="29">
        <f t="shared" si="0"/>
        <v>1385</v>
      </c>
    </row>
    <row r="11" spans="1:11" x14ac:dyDescent="0.35">
      <c r="A11" s="27" t="s">
        <v>51</v>
      </c>
      <c r="B11" s="25">
        <v>135</v>
      </c>
      <c r="C11" s="25">
        <v>132</v>
      </c>
      <c r="D11" s="25">
        <v>189</v>
      </c>
      <c r="E11" s="25">
        <v>175</v>
      </c>
      <c r="F11" s="25">
        <v>173</v>
      </c>
      <c r="G11" s="25">
        <v>121</v>
      </c>
      <c r="H11" s="25">
        <v>150</v>
      </c>
      <c r="I11" s="25">
        <v>160</v>
      </c>
      <c r="J11" s="25">
        <v>150</v>
      </c>
      <c r="K11" s="29">
        <f t="shared" si="0"/>
        <v>1385</v>
      </c>
    </row>
    <row r="12" spans="1:11" x14ac:dyDescent="0.35">
      <c r="A12" s="27" t="s">
        <v>52</v>
      </c>
      <c r="B12" s="25">
        <v>143</v>
      </c>
      <c r="C12" s="25">
        <v>140</v>
      </c>
      <c r="D12" s="25">
        <v>189</v>
      </c>
      <c r="E12" s="25">
        <v>175</v>
      </c>
      <c r="F12" s="25">
        <v>173</v>
      </c>
      <c r="G12" s="25">
        <v>121</v>
      </c>
      <c r="H12" s="25">
        <v>150</v>
      </c>
      <c r="I12" s="25">
        <v>160</v>
      </c>
      <c r="J12" s="25">
        <v>150</v>
      </c>
      <c r="K12" s="29">
        <f t="shared" si="0"/>
        <v>1401</v>
      </c>
    </row>
    <row r="13" spans="1:11" x14ac:dyDescent="0.35">
      <c r="A13" s="27" t="s">
        <v>53</v>
      </c>
      <c r="B13" s="25">
        <v>135</v>
      </c>
      <c r="C13" s="25">
        <v>132</v>
      </c>
      <c r="D13" s="25">
        <v>201</v>
      </c>
      <c r="E13" s="25">
        <v>184</v>
      </c>
      <c r="F13" s="25">
        <v>182</v>
      </c>
      <c r="G13" s="25">
        <v>125</v>
      </c>
      <c r="H13" s="25">
        <v>155</v>
      </c>
      <c r="I13" s="25">
        <v>165</v>
      </c>
      <c r="J13" s="25">
        <v>155</v>
      </c>
      <c r="K13" s="29">
        <f t="shared" si="0"/>
        <v>1434</v>
      </c>
    </row>
    <row r="14" spans="1:11" x14ac:dyDescent="0.35">
      <c r="A14" s="27" t="s">
        <v>54</v>
      </c>
      <c r="B14" s="25">
        <v>135</v>
      </c>
      <c r="C14" s="25">
        <v>140</v>
      </c>
      <c r="D14" s="25">
        <v>189</v>
      </c>
      <c r="E14" s="25">
        <v>175</v>
      </c>
      <c r="F14" s="25">
        <v>173</v>
      </c>
      <c r="G14" s="25">
        <v>121</v>
      </c>
      <c r="H14" s="25">
        <v>150</v>
      </c>
      <c r="I14" s="25">
        <v>160</v>
      </c>
      <c r="J14" s="25">
        <v>150</v>
      </c>
      <c r="K14" s="29">
        <f t="shared" si="0"/>
        <v>1393</v>
      </c>
    </row>
    <row r="15" spans="1:11" x14ac:dyDescent="0.35">
      <c r="A15" s="27" t="s">
        <v>55</v>
      </c>
      <c r="B15" s="25">
        <v>135</v>
      </c>
      <c r="C15" s="25">
        <v>132</v>
      </c>
      <c r="D15" s="25">
        <v>189</v>
      </c>
      <c r="E15" s="25">
        <v>184</v>
      </c>
      <c r="F15" s="25">
        <v>182</v>
      </c>
      <c r="G15" s="25">
        <v>125</v>
      </c>
      <c r="H15" s="25">
        <v>150</v>
      </c>
      <c r="I15" s="25">
        <v>160</v>
      </c>
      <c r="J15" s="25">
        <v>155</v>
      </c>
      <c r="K15" s="29">
        <f t="shared" si="0"/>
        <v>1412</v>
      </c>
    </row>
    <row r="16" spans="1:11" x14ac:dyDescent="0.35">
      <c r="A16" s="27" t="s">
        <v>56</v>
      </c>
      <c r="B16" s="25">
        <v>143</v>
      </c>
      <c r="C16" s="25">
        <v>140</v>
      </c>
      <c r="D16" s="25">
        <v>189</v>
      </c>
      <c r="E16" s="25">
        <v>175</v>
      </c>
      <c r="F16" s="25">
        <v>173</v>
      </c>
      <c r="G16" s="25">
        <v>121</v>
      </c>
      <c r="H16" s="25">
        <v>150</v>
      </c>
      <c r="I16" s="25">
        <v>160</v>
      </c>
      <c r="J16" s="25">
        <v>150</v>
      </c>
      <c r="K16" s="29">
        <f t="shared" si="0"/>
        <v>1401</v>
      </c>
    </row>
    <row r="17" spans="1:12" x14ac:dyDescent="0.35">
      <c r="A17" s="27" t="s">
        <v>57</v>
      </c>
      <c r="B17" s="25">
        <v>135</v>
      </c>
      <c r="C17" s="25">
        <v>132</v>
      </c>
      <c r="D17" s="25">
        <v>189</v>
      </c>
      <c r="E17" s="25">
        <v>184</v>
      </c>
      <c r="F17" s="25">
        <v>182</v>
      </c>
      <c r="G17" s="25">
        <v>125</v>
      </c>
      <c r="H17" s="25">
        <v>150</v>
      </c>
      <c r="I17" s="25">
        <v>160</v>
      </c>
      <c r="J17" s="25">
        <v>155</v>
      </c>
      <c r="K17" s="29">
        <f t="shared" si="0"/>
        <v>1412</v>
      </c>
    </row>
    <row r="18" spans="1:12" x14ac:dyDescent="0.35">
      <c r="A18" s="27" t="s">
        <v>58</v>
      </c>
      <c r="B18" s="25">
        <v>135</v>
      </c>
      <c r="C18" s="25">
        <v>140</v>
      </c>
      <c r="D18" s="25">
        <v>189</v>
      </c>
      <c r="E18" s="25">
        <v>175</v>
      </c>
      <c r="F18" s="25">
        <v>173</v>
      </c>
      <c r="G18" s="25">
        <v>121</v>
      </c>
      <c r="H18" s="25">
        <v>150</v>
      </c>
      <c r="I18" s="25">
        <v>160</v>
      </c>
      <c r="J18" s="25">
        <v>150</v>
      </c>
      <c r="K18" s="29">
        <f t="shared" si="0"/>
        <v>1393</v>
      </c>
    </row>
    <row r="19" spans="1:12" x14ac:dyDescent="0.35">
      <c r="A19" s="27" t="s">
        <v>59</v>
      </c>
      <c r="B19" s="25">
        <v>135</v>
      </c>
      <c r="C19" s="25">
        <v>132</v>
      </c>
      <c r="D19" s="25">
        <v>189</v>
      </c>
      <c r="E19" s="25">
        <v>184</v>
      </c>
      <c r="F19" s="25">
        <v>182</v>
      </c>
      <c r="G19" s="25">
        <v>125</v>
      </c>
      <c r="H19" s="25">
        <v>150</v>
      </c>
      <c r="I19" s="25">
        <v>160</v>
      </c>
      <c r="J19" s="25">
        <v>155</v>
      </c>
      <c r="K19" s="29">
        <f t="shared" si="0"/>
        <v>1412</v>
      </c>
    </row>
    <row r="20" spans="1:12" x14ac:dyDescent="0.35">
      <c r="A20" s="27" t="s">
        <v>60</v>
      </c>
      <c r="B20" s="25">
        <v>135</v>
      </c>
      <c r="C20" s="25">
        <v>140</v>
      </c>
      <c r="D20" s="25">
        <v>201</v>
      </c>
      <c r="E20" s="25">
        <v>175</v>
      </c>
      <c r="F20" s="25">
        <v>173</v>
      </c>
      <c r="G20" s="25">
        <v>121</v>
      </c>
      <c r="H20" s="25">
        <v>155</v>
      </c>
      <c r="I20" s="25">
        <v>165</v>
      </c>
      <c r="J20" s="25">
        <v>150</v>
      </c>
      <c r="K20" s="29">
        <f t="shared" si="0"/>
        <v>1415</v>
      </c>
    </row>
    <row r="21" spans="1:12" x14ac:dyDescent="0.35">
      <c r="A21" s="27" t="s">
        <v>61</v>
      </c>
      <c r="B21" s="25">
        <v>135</v>
      </c>
      <c r="C21" s="25">
        <v>132</v>
      </c>
      <c r="D21" s="25">
        <v>189</v>
      </c>
      <c r="E21" s="25">
        <v>184</v>
      </c>
      <c r="F21" s="25">
        <v>182</v>
      </c>
      <c r="G21" s="25">
        <v>125</v>
      </c>
      <c r="H21" s="25">
        <v>150</v>
      </c>
      <c r="I21" s="25">
        <v>160</v>
      </c>
      <c r="J21" s="25">
        <v>155</v>
      </c>
      <c r="K21" s="29">
        <f t="shared" si="0"/>
        <v>1412</v>
      </c>
    </row>
    <row r="22" spans="1:12" x14ac:dyDescent="0.35">
      <c r="A22" s="27" t="s">
        <v>62</v>
      </c>
      <c r="B22" s="25">
        <v>135</v>
      </c>
      <c r="C22" s="25">
        <v>140</v>
      </c>
      <c r="D22" s="25">
        <v>189</v>
      </c>
      <c r="E22" s="25">
        <v>175</v>
      </c>
      <c r="F22" s="25">
        <v>173</v>
      </c>
      <c r="G22" s="25">
        <v>121</v>
      </c>
      <c r="H22" s="25">
        <v>150</v>
      </c>
      <c r="I22" s="25">
        <v>160</v>
      </c>
      <c r="J22" s="25">
        <v>150</v>
      </c>
      <c r="K22" s="29">
        <f t="shared" si="0"/>
        <v>1393</v>
      </c>
    </row>
    <row r="23" spans="1:12" x14ac:dyDescent="0.35">
      <c r="A23" s="27" t="s">
        <v>63</v>
      </c>
      <c r="B23" s="25">
        <v>135</v>
      </c>
      <c r="C23" s="25">
        <v>132</v>
      </c>
      <c r="D23" s="25">
        <v>189</v>
      </c>
      <c r="E23" s="25">
        <v>184</v>
      </c>
      <c r="F23" s="25">
        <v>182</v>
      </c>
      <c r="G23" s="25">
        <v>125</v>
      </c>
      <c r="H23" s="25">
        <v>150</v>
      </c>
      <c r="I23" s="25">
        <v>160</v>
      </c>
      <c r="J23" s="25">
        <v>155</v>
      </c>
      <c r="K23" s="29">
        <f t="shared" si="0"/>
        <v>1412</v>
      </c>
    </row>
    <row r="24" spans="1:12" x14ac:dyDescent="0.35">
      <c r="A24" s="27" t="s">
        <v>64</v>
      </c>
      <c r="B24" s="25">
        <v>135</v>
      </c>
      <c r="C24" s="25">
        <v>140</v>
      </c>
      <c r="D24" s="25">
        <v>189</v>
      </c>
      <c r="E24" s="25">
        <v>175</v>
      </c>
      <c r="F24" s="25">
        <v>173</v>
      </c>
      <c r="G24" s="25">
        <v>121</v>
      </c>
      <c r="H24" s="25">
        <v>150</v>
      </c>
      <c r="I24" s="25">
        <v>160</v>
      </c>
      <c r="J24" s="25">
        <v>150</v>
      </c>
      <c r="K24" s="29">
        <f t="shared" si="0"/>
        <v>1393</v>
      </c>
    </row>
    <row r="25" spans="1:12" x14ac:dyDescent="0.35">
      <c r="A25" s="27" t="s">
        <v>65</v>
      </c>
      <c r="B25" s="25">
        <v>135</v>
      </c>
      <c r="C25" s="25">
        <v>132</v>
      </c>
      <c r="D25" s="25">
        <v>189</v>
      </c>
      <c r="E25" s="25">
        <v>184</v>
      </c>
      <c r="F25" s="25">
        <v>182</v>
      </c>
      <c r="G25" s="25">
        <v>125</v>
      </c>
      <c r="H25" s="25">
        <v>150</v>
      </c>
      <c r="I25" s="25">
        <v>160</v>
      </c>
      <c r="J25" s="25">
        <v>155</v>
      </c>
      <c r="K25" s="29">
        <f t="shared" si="0"/>
        <v>1412</v>
      </c>
    </row>
    <row r="26" spans="1:12" x14ac:dyDescent="0.35">
      <c r="A26" s="27" t="s">
        <v>66</v>
      </c>
      <c r="B26" s="25"/>
      <c r="C26" s="25"/>
      <c r="D26" s="25">
        <v>189</v>
      </c>
      <c r="E26" s="25">
        <v>175</v>
      </c>
      <c r="F26" s="25">
        <v>173</v>
      </c>
      <c r="G26" s="25">
        <v>121</v>
      </c>
      <c r="H26" s="25">
        <v>150</v>
      </c>
      <c r="I26" s="25">
        <v>160</v>
      </c>
      <c r="J26" s="25">
        <v>150</v>
      </c>
      <c r="K26" s="29">
        <f t="shared" si="0"/>
        <v>1118</v>
      </c>
    </row>
    <row r="27" spans="1:12" x14ac:dyDescent="0.35">
      <c r="A27" s="27" t="s">
        <v>67</v>
      </c>
      <c r="B27" s="25">
        <v>135</v>
      </c>
      <c r="C27" s="25">
        <v>132</v>
      </c>
      <c r="D27" s="25">
        <v>189</v>
      </c>
      <c r="E27" s="25">
        <v>175</v>
      </c>
      <c r="F27" s="25">
        <v>173</v>
      </c>
      <c r="G27" s="25">
        <v>121</v>
      </c>
      <c r="H27" s="25">
        <v>150</v>
      </c>
      <c r="I27" s="25">
        <v>160</v>
      </c>
      <c r="J27" s="25">
        <v>150</v>
      </c>
      <c r="K27" s="29">
        <f t="shared" si="0"/>
        <v>1385</v>
      </c>
    </row>
    <row r="28" spans="1:12" x14ac:dyDescent="0.35">
      <c r="A28" s="28" t="s">
        <v>68</v>
      </c>
      <c r="B28" s="30">
        <f>SUM(B2:B27)</f>
        <v>3324</v>
      </c>
      <c r="C28" s="30">
        <f t="shared" ref="C28:J28" si="1">SUM(C2:C27)</f>
        <v>3351</v>
      </c>
      <c r="D28" s="30">
        <f t="shared" si="1"/>
        <v>4771</v>
      </c>
      <c r="E28" s="30">
        <f t="shared" si="1"/>
        <v>4516</v>
      </c>
      <c r="F28" s="30">
        <f t="shared" si="1"/>
        <v>4551</v>
      </c>
      <c r="G28" s="30">
        <f t="shared" si="1"/>
        <v>3056</v>
      </c>
      <c r="H28" s="30">
        <f t="shared" si="1"/>
        <v>3696</v>
      </c>
      <c r="I28" s="30">
        <f t="shared" si="1"/>
        <v>4158</v>
      </c>
      <c r="J28" s="30">
        <f t="shared" si="1"/>
        <v>3996</v>
      </c>
      <c r="K28" s="29">
        <f t="shared" si="0"/>
        <v>35419</v>
      </c>
      <c r="L28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4E6B-482B-451B-BB77-E8CD22D5DE68}">
  <dimension ref="A1:XFD28"/>
  <sheetViews>
    <sheetView topLeftCell="A15" workbookViewId="0">
      <selection activeCell="B26" sqref="B26"/>
    </sheetView>
  </sheetViews>
  <sheetFormatPr defaultRowHeight="14.5" x14ac:dyDescent="0.35"/>
  <cols>
    <col min="1" max="1" width="31.6328125" style="43" customWidth="1"/>
    <col min="2" max="4" width="15.90625" style="44" customWidth="1"/>
    <col min="5" max="5" width="46.7265625" style="44" customWidth="1"/>
    <col min="6" max="16384" width="8.7265625" style="43"/>
  </cols>
  <sheetData>
    <row r="1" spans="1:5 16384:16384" ht="29" x14ac:dyDescent="0.35">
      <c r="A1" s="28" t="s">
        <v>95</v>
      </c>
      <c r="B1" s="28" t="s">
        <v>96</v>
      </c>
      <c r="C1" s="28" t="s">
        <v>97</v>
      </c>
      <c r="D1" s="28" t="s">
        <v>98</v>
      </c>
      <c r="E1" s="28" t="s">
        <v>99</v>
      </c>
    </row>
    <row r="2" spans="1:5 16384:16384" x14ac:dyDescent="0.35">
      <c r="A2" s="45" t="s">
        <v>124</v>
      </c>
      <c r="B2" s="27">
        <v>0.5</v>
      </c>
      <c r="C2" s="27">
        <v>5</v>
      </c>
      <c r="D2" s="27">
        <v>10</v>
      </c>
      <c r="E2" s="46"/>
    </row>
    <row r="3" spans="1:5 16384:16384" x14ac:dyDescent="0.35">
      <c r="A3" s="45" t="s">
        <v>125</v>
      </c>
      <c r="B3" s="27">
        <v>2.5</v>
      </c>
      <c r="C3" s="27">
        <v>5</v>
      </c>
      <c r="D3" s="27">
        <v>10</v>
      </c>
      <c r="E3" s="46"/>
    </row>
    <row r="4" spans="1:5 16384:16384" x14ac:dyDescent="0.35">
      <c r="A4" s="45" t="s">
        <v>126</v>
      </c>
      <c r="B4" s="27">
        <v>25</v>
      </c>
      <c r="C4" s="27">
        <v>25</v>
      </c>
      <c r="D4" s="27">
        <v>25</v>
      </c>
      <c r="E4" s="46"/>
    </row>
    <row r="5" spans="1:5 16384:16384" x14ac:dyDescent="0.35">
      <c r="A5" s="45" t="s">
        <v>127</v>
      </c>
      <c r="B5" s="27">
        <v>10</v>
      </c>
      <c r="C5" s="27">
        <v>10</v>
      </c>
      <c r="D5" s="27">
        <v>10</v>
      </c>
      <c r="E5" s="46"/>
    </row>
    <row r="6" spans="1:5 16384:16384" x14ac:dyDescent="0.35">
      <c r="A6" s="45" t="s">
        <v>128</v>
      </c>
      <c r="B6" s="27">
        <f>SUM(B2:B5)</f>
        <v>38</v>
      </c>
      <c r="C6" s="27">
        <f t="shared" ref="C6:D6" si="0">SUM(C2:C5)</f>
        <v>45</v>
      </c>
      <c r="D6" s="27">
        <f t="shared" si="0"/>
        <v>55</v>
      </c>
      <c r="E6" s="47"/>
    </row>
    <row r="7" spans="1:5 16384:16384" x14ac:dyDescent="0.35">
      <c r="A7" s="45" t="s">
        <v>129</v>
      </c>
      <c r="B7" s="27">
        <v>2.5</v>
      </c>
      <c r="C7" s="27">
        <v>2.5</v>
      </c>
      <c r="D7" s="27">
        <v>2.5</v>
      </c>
      <c r="E7" s="28"/>
    </row>
    <row r="8" spans="1:5 16384:16384" ht="29" x14ac:dyDescent="0.35">
      <c r="A8" s="45" t="s">
        <v>131</v>
      </c>
      <c r="B8" s="25">
        <v>5</v>
      </c>
      <c r="C8" s="25">
        <v>5</v>
      </c>
      <c r="D8" s="25">
        <v>5</v>
      </c>
      <c r="E8" s="28"/>
      <c r="XFD8" s="44"/>
    </row>
    <row r="9" spans="1:5 16384:16384" ht="29" x14ac:dyDescent="0.35">
      <c r="A9" s="45" t="s">
        <v>130</v>
      </c>
      <c r="B9" s="27">
        <v>15</v>
      </c>
      <c r="C9" s="27">
        <v>15</v>
      </c>
      <c r="D9" s="27">
        <v>15</v>
      </c>
      <c r="E9" s="28"/>
    </row>
    <row r="10" spans="1:5 16384:16384" ht="29" x14ac:dyDescent="0.35">
      <c r="A10" s="45" t="s">
        <v>132</v>
      </c>
      <c r="B10" s="48">
        <f>(B6/60)*B7*'Steel &amp; Shuttering qty'!$E$11</f>
        <v>9346.6805555555547</v>
      </c>
      <c r="C10" s="48">
        <f>(C6/60)*C7*'Steel &amp; Shuttering qty'!$E$11</f>
        <v>11068.437499999998</v>
      </c>
      <c r="D10" s="48">
        <f>(D6/60)*D7*'Steel &amp; Shuttering qty'!$E$11</f>
        <v>13528.090277777776</v>
      </c>
      <c r="E10" s="28"/>
    </row>
    <row r="11" spans="1:5 16384:16384" ht="29" x14ac:dyDescent="0.35">
      <c r="A11" s="45" t="s">
        <v>133</v>
      </c>
      <c r="B11" s="48">
        <f>B8*'Steel &amp; Shuttering qty'!$E$11</f>
        <v>29515.833333333328</v>
      </c>
      <c r="C11" s="48">
        <f>C8*'Steel &amp; Shuttering qty'!$E$11</f>
        <v>29515.833333333328</v>
      </c>
      <c r="D11" s="48">
        <f>D8*'Steel &amp; Shuttering qty'!$E$11</f>
        <v>29515.833333333328</v>
      </c>
      <c r="E11" s="28"/>
    </row>
    <row r="12" spans="1:5 16384:16384" x14ac:dyDescent="0.35">
      <c r="A12" s="45" t="s">
        <v>134</v>
      </c>
      <c r="B12" s="49">
        <f>B10+B11</f>
        <v>38862.513888888883</v>
      </c>
      <c r="C12" s="49">
        <f>C10+C11</f>
        <v>40584.270833333328</v>
      </c>
      <c r="D12" s="49">
        <f>D10+D11</f>
        <v>43043.923611111102</v>
      </c>
      <c r="E12" s="28"/>
    </row>
    <row r="13" spans="1:5 16384:16384" x14ac:dyDescent="0.35">
      <c r="A13" s="45" t="s">
        <v>136</v>
      </c>
      <c r="B13" s="49">
        <f>B12*2.68/1000</f>
        <v>104.1515372222222</v>
      </c>
      <c r="C13" s="49">
        <f>C12*2.68/1000</f>
        <v>108.76584583333333</v>
      </c>
      <c r="D13" s="49">
        <f>D12*2.68/1000</f>
        <v>115.35771527777777</v>
      </c>
      <c r="E13" s="28"/>
    </row>
    <row r="14" spans="1:5 16384:16384" x14ac:dyDescent="0.35">
      <c r="A14" s="45"/>
      <c r="B14" s="49"/>
      <c r="C14" s="49"/>
      <c r="D14" s="49"/>
      <c r="E14" s="28"/>
    </row>
    <row r="15" spans="1:5 16384:16384" x14ac:dyDescent="0.35">
      <c r="A15" s="45"/>
      <c r="B15" s="28">
        <v>312</v>
      </c>
      <c r="C15" s="28">
        <v>406</v>
      </c>
      <c r="D15" s="28">
        <v>792</v>
      </c>
      <c r="E15" s="28"/>
    </row>
    <row r="16" spans="1:5 16384:16384" x14ac:dyDescent="0.35">
      <c r="A16" s="45" t="s">
        <v>110</v>
      </c>
      <c r="B16" s="28">
        <v>9</v>
      </c>
      <c r="C16" s="28">
        <v>9</v>
      </c>
      <c r="D16" s="28">
        <v>9</v>
      </c>
      <c r="E16" s="28"/>
    </row>
    <row r="17" spans="1:5" x14ac:dyDescent="0.35">
      <c r="A17" s="45" t="s">
        <v>111</v>
      </c>
      <c r="B17" s="28">
        <v>45</v>
      </c>
      <c r="C17" s="28">
        <v>45</v>
      </c>
      <c r="D17" s="28">
        <v>45</v>
      </c>
      <c r="E17" s="47"/>
    </row>
    <row r="18" spans="1:5" ht="58" x14ac:dyDescent="0.35">
      <c r="A18" s="45" t="s">
        <v>112</v>
      </c>
      <c r="B18" s="50">
        <v>0.4</v>
      </c>
      <c r="C18" s="50">
        <v>0.4</v>
      </c>
      <c r="D18" s="50">
        <v>0.4</v>
      </c>
      <c r="E18" s="46" t="s">
        <v>115</v>
      </c>
    </row>
    <row r="19" spans="1:5" ht="72.5" x14ac:dyDescent="0.35">
      <c r="A19" s="45" t="s">
        <v>113</v>
      </c>
      <c r="B19" s="50">
        <v>0.1</v>
      </c>
      <c r="C19" s="50">
        <v>0.1</v>
      </c>
      <c r="D19" s="50">
        <v>0.1</v>
      </c>
      <c r="E19" s="47" t="s">
        <v>114</v>
      </c>
    </row>
    <row r="20" spans="1:5" x14ac:dyDescent="0.35">
      <c r="A20" s="45" t="s">
        <v>122</v>
      </c>
      <c r="B20" s="51">
        <f>55/45</f>
        <v>1.2222222222222223</v>
      </c>
      <c r="C20" s="51">
        <f>55/45</f>
        <v>1.2222222222222223</v>
      </c>
      <c r="D20" s="51">
        <f>C20+20%*C20</f>
        <v>1.4666666666666668</v>
      </c>
      <c r="E20" s="47"/>
    </row>
    <row r="21" spans="1:5" x14ac:dyDescent="0.35">
      <c r="A21" s="45" t="s">
        <v>123</v>
      </c>
      <c r="B21" s="51">
        <f>3.6/2</f>
        <v>1.8</v>
      </c>
      <c r="C21" s="51">
        <f>4/2</f>
        <v>2</v>
      </c>
      <c r="D21" s="51">
        <f>C21+75%*C21</f>
        <v>3.5</v>
      </c>
      <c r="E21" s="47"/>
    </row>
    <row r="22" spans="1:5" x14ac:dyDescent="0.35">
      <c r="A22" s="45" t="s">
        <v>100</v>
      </c>
      <c r="B22" s="52">
        <f>B15*B16*B17*B18*4</f>
        <v>202176</v>
      </c>
      <c r="C22" s="52">
        <f t="shared" ref="C22" si="1">C15*C16*C17*C18*4</f>
        <v>263088</v>
      </c>
      <c r="D22" s="52">
        <f>D15*D16*D17*D18*4</f>
        <v>513216</v>
      </c>
      <c r="E22" s="45" t="s">
        <v>101</v>
      </c>
    </row>
    <row r="23" spans="1:5" x14ac:dyDescent="0.35">
      <c r="A23" s="45" t="s">
        <v>102</v>
      </c>
      <c r="B23" s="52">
        <f>B15*B16*B17*B19</f>
        <v>12636</v>
      </c>
      <c r="C23" s="52">
        <f>C15*C16*C17*C19</f>
        <v>16443</v>
      </c>
      <c r="D23" s="52">
        <f>D15*D16*D17*D19</f>
        <v>32076</v>
      </c>
      <c r="E23" s="45" t="s">
        <v>103</v>
      </c>
    </row>
    <row r="24" spans="1:5" x14ac:dyDescent="0.35">
      <c r="A24" s="45" t="s">
        <v>104</v>
      </c>
      <c r="B24" s="52">
        <f>B21*'Steel &amp; Shuttering qty'!$C$11</f>
        <v>6375.4199999999992</v>
      </c>
      <c r="C24" s="52">
        <f>C21*'Steel &amp; Shuttering qty'!$C$11</f>
        <v>7083.7999999999993</v>
      </c>
      <c r="D24" s="52">
        <f>D21*'Steel &amp; Shuttering qty'!$C$11</f>
        <v>12396.649999999998</v>
      </c>
      <c r="E24" s="45" t="s">
        <v>105</v>
      </c>
    </row>
    <row r="25" spans="1:5" x14ac:dyDescent="0.35">
      <c r="A25" s="45" t="s">
        <v>106</v>
      </c>
      <c r="B25" s="52">
        <f>B20*'Concrete qty'!$K$28</f>
        <v>43289.888888888891</v>
      </c>
      <c r="C25" s="52">
        <f>C20*'Concrete qty'!$K$28</f>
        <v>43289.888888888891</v>
      </c>
      <c r="D25" s="52">
        <f>D20*'Concrete qty'!$K$28</f>
        <v>51947.866666666669</v>
      </c>
      <c r="E25" s="45" t="s">
        <v>107</v>
      </c>
    </row>
    <row r="26" spans="1:5" x14ac:dyDescent="0.35">
      <c r="A26" s="45" t="s">
        <v>108</v>
      </c>
      <c r="B26" s="53">
        <f>SUM(B22:B25)</f>
        <v>264477.30888888892</v>
      </c>
      <c r="C26" s="53">
        <f>SUM(C22:C25)</f>
        <v>329904.68888888886</v>
      </c>
      <c r="D26" s="53">
        <f>SUM(D22:D25)</f>
        <v>609636.51666666672</v>
      </c>
      <c r="E26" s="54" t="s">
        <v>109</v>
      </c>
    </row>
    <row r="27" spans="1:5" x14ac:dyDescent="0.35">
      <c r="A27" s="45" t="s">
        <v>135</v>
      </c>
      <c r="B27" s="55">
        <f>B26*0.82/1000</f>
        <v>216.8713932888889</v>
      </c>
      <c r="C27" s="55">
        <f>C26*0.82/1000</f>
        <v>270.52184488888889</v>
      </c>
      <c r="D27" s="55">
        <f>D26*0.82/1000</f>
        <v>499.90194366666668</v>
      </c>
      <c r="E27" s="25"/>
    </row>
    <row r="28" spans="1:5" x14ac:dyDescent="0.35">
      <c r="A28" s="56" t="s">
        <v>137</v>
      </c>
      <c r="B28" s="55">
        <f>B13+B27</f>
        <v>321.0229305111111</v>
      </c>
      <c r="C28" s="55">
        <f>C13+C27</f>
        <v>379.28769072222224</v>
      </c>
      <c r="D28" s="55">
        <f>D13+D27</f>
        <v>615.25965894444448</v>
      </c>
      <c r="E28" s="25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EFC7-8CAF-489C-B073-846D3CBCE2B5}">
  <dimension ref="A1:I11"/>
  <sheetViews>
    <sheetView workbookViewId="0">
      <selection activeCell="E3" sqref="E3"/>
    </sheetView>
  </sheetViews>
  <sheetFormatPr defaultRowHeight="14.5" x14ac:dyDescent="0.35"/>
  <cols>
    <col min="4" max="4" width="10.81640625" customWidth="1"/>
  </cols>
  <sheetData>
    <row r="1" spans="1:9" ht="43.5" x14ac:dyDescent="0.35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</row>
    <row r="2" spans="1:9" x14ac:dyDescent="0.35">
      <c r="A2" s="34" t="s">
        <v>31</v>
      </c>
      <c r="B2" s="40">
        <f>SUM('Concrete qty'!B$2:B$27)</f>
        <v>3324</v>
      </c>
      <c r="C2" s="33">
        <f>((B2*100)/1)/1000</f>
        <v>332.4</v>
      </c>
      <c r="D2" s="40">
        <f>B2*3.5</f>
        <v>11634</v>
      </c>
      <c r="E2" s="42">
        <f>B2/6</f>
        <v>554</v>
      </c>
    </row>
    <row r="3" spans="1:9" x14ac:dyDescent="0.35">
      <c r="A3" s="34" t="s">
        <v>32</v>
      </c>
      <c r="B3" s="40">
        <f>SUM('Concrete qty'!C2:C27)</f>
        <v>3351</v>
      </c>
      <c r="C3" s="33">
        <f>((B3*100)/1)/1000</f>
        <v>335.1</v>
      </c>
      <c r="D3" s="40">
        <f t="shared" ref="D3:D10" si="0">B3*3.5</f>
        <v>11728.5</v>
      </c>
      <c r="E3" s="42">
        <f t="shared" ref="E3:E10" si="1">B3/6</f>
        <v>558.5</v>
      </c>
    </row>
    <row r="4" spans="1:9" x14ac:dyDescent="0.35">
      <c r="A4" s="34" t="s">
        <v>33</v>
      </c>
      <c r="B4" s="40">
        <f>'Concrete qty'!D28</f>
        <v>4771</v>
      </c>
      <c r="C4" s="33">
        <f>((B4*100)/1)/1000</f>
        <v>477.1</v>
      </c>
      <c r="D4" s="40">
        <f t="shared" si="0"/>
        <v>16698.5</v>
      </c>
      <c r="E4" s="42">
        <f t="shared" si="1"/>
        <v>795.16666666666663</v>
      </c>
      <c r="I4" s="39"/>
    </row>
    <row r="5" spans="1:9" x14ac:dyDescent="0.35">
      <c r="A5" s="34" t="s">
        <v>34</v>
      </c>
      <c r="B5" s="40">
        <f>'Concrete qty'!E28</f>
        <v>4516</v>
      </c>
      <c r="C5" s="33">
        <f>((B5*100)/1)/1000</f>
        <v>451.6</v>
      </c>
      <c r="D5" s="40">
        <f t="shared" si="0"/>
        <v>15806</v>
      </c>
      <c r="E5" s="42">
        <f t="shared" si="1"/>
        <v>752.66666666666663</v>
      </c>
    </row>
    <row r="6" spans="1:9" x14ac:dyDescent="0.35">
      <c r="A6" s="34" t="s">
        <v>35</v>
      </c>
      <c r="B6" s="40">
        <f>'Concrete qty'!F28</f>
        <v>4551</v>
      </c>
      <c r="C6" s="33">
        <f>((B6*100)/1)/1000</f>
        <v>455.1</v>
      </c>
      <c r="D6" s="40">
        <f t="shared" si="0"/>
        <v>15928.5</v>
      </c>
      <c r="E6" s="42">
        <f t="shared" si="1"/>
        <v>758.5</v>
      </c>
    </row>
    <row r="7" spans="1:9" x14ac:dyDescent="0.35">
      <c r="A7" s="34" t="s">
        <v>36</v>
      </c>
      <c r="B7" s="40">
        <f>'Concrete qty'!G28</f>
        <v>3056</v>
      </c>
      <c r="C7" s="33">
        <f t="shared" ref="C7:C10" si="2">((B7*100)/1)/1000</f>
        <v>305.60000000000002</v>
      </c>
      <c r="D7" s="40">
        <f t="shared" si="0"/>
        <v>10696</v>
      </c>
      <c r="E7" s="42">
        <f t="shared" si="1"/>
        <v>509.33333333333331</v>
      </c>
    </row>
    <row r="8" spans="1:9" x14ac:dyDescent="0.35">
      <c r="A8" s="34" t="s">
        <v>37</v>
      </c>
      <c r="B8" s="40">
        <f>'Concrete qty'!H28</f>
        <v>3696</v>
      </c>
      <c r="C8" s="33">
        <f t="shared" si="2"/>
        <v>369.6</v>
      </c>
      <c r="D8" s="40">
        <f t="shared" si="0"/>
        <v>12936</v>
      </c>
      <c r="E8" s="42">
        <f t="shared" si="1"/>
        <v>616</v>
      </c>
    </row>
    <row r="9" spans="1:9" x14ac:dyDescent="0.35">
      <c r="A9" s="34" t="s">
        <v>38</v>
      </c>
      <c r="B9" s="40">
        <f>'Concrete qty'!I28</f>
        <v>4158</v>
      </c>
      <c r="C9" s="33">
        <f t="shared" si="2"/>
        <v>415.8</v>
      </c>
      <c r="D9" s="40">
        <f t="shared" si="0"/>
        <v>14553</v>
      </c>
      <c r="E9" s="42">
        <f t="shared" si="1"/>
        <v>693</v>
      </c>
    </row>
    <row r="10" spans="1:9" x14ac:dyDescent="0.35">
      <c r="A10" s="34" t="s">
        <v>39</v>
      </c>
      <c r="B10" s="40">
        <f>'Concrete qty'!J28</f>
        <v>3996</v>
      </c>
      <c r="C10" s="33">
        <f t="shared" si="2"/>
        <v>399.6</v>
      </c>
      <c r="D10" s="40">
        <f t="shared" si="0"/>
        <v>13986</v>
      </c>
      <c r="E10" s="42">
        <f t="shared" si="1"/>
        <v>666</v>
      </c>
    </row>
    <row r="11" spans="1:9" x14ac:dyDescent="0.35">
      <c r="A11" s="34" t="s">
        <v>121</v>
      </c>
      <c r="B11" s="41">
        <f>SUM(B2:B10)</f>
        <v>35419</v>
      </c>
      <c r="C11" s="41">
        <f>SUM(C2:C10)</f>
        <v>3541.8999999999996</v>
      </c>
      <c r="D11" s="41">
        <f>SUM(D2:D10)</f>
        <v>123966.5</v>
      </c>
      <c r="E11" s="41">
        <f>SUM(E2:E10)</f>
        <v>5903.1666666666661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40F2-1C7C-4997-8AE2-4EA43A119D98}">
  <dimension ref="A1:S30"/>
  <sheetViews>
    <sheetView tabSelected="1" topLeftCell="B1" workbookViewId="0">
      <selection activeCell="B27" sqref="B27:S27"/>
    </sheetView>
  </sheetViews>
  <sheetFormatPr defaultRowHeight="14.5" x14ac:dyDescent="0.35"/>
  <cols>
    <col min="1" max="1" width="24" customWidth="1"/>
    <col min="2" max="2" width="9.1796875" style="35" bestFit="1" customWidth="1"/>
    <col min="3" max="3" width="9.7265625" style="35" bestFit="1" customWidth="1"/>
    <col min="4" max="4" width="8.7265625" style="35"/>
    <col min="5" max="5" width="9.7265625" style="35" bestFit="1" customWidth="1"/>
    <col min="6" max="6" width="8.7265625" style="35"/>
    <col min="7" max="7" width="9.7265625" style="35" bestFit="1" customWidth="1"/>
    <col min="8" max="8" width="8.7265625" style="35"/>
    <col min="9" max="9" width="9.7265625" style="35" bestFit="1" customWidth="1"/>
    <col min="10" max="10" width="8.7265625" style="35"/>
    <col min="11" max="11" width="9.7265625" style="35" bestFit="1" customWidth="1"/>
    <col min="12" max="12" width="8.7265625" style="35"/>
    <col min="13" max="13" width="9.7265625" style="35" bestFit="1" customWidth="1"/>
    <col min="14" max="14" width="8.7265625" style="35"/>
    <col min="15" max="15" width="9.7265625" style="35" bestFit="1" customWidth="1"/>
    <col min="16" max="16" width="8.7265625" style="35"/>
    <col min="17" max="17" width="9.7265625" style="35" bestFit="1" customWidth="1"/>
    <col min="18" max="18" width="8.7265625" style="35"/>
    <col min="19" max="19" width="9.7265625" bestFit="1" customWidth="1"/>
  </cols>
  <sheetData>
    <row r="1" spans="1:19" x14ac:dyDescent="0.35">
      <c r="A1" s="32" t="s">
        <v>69</v>
      </c>
      <c r="B1" s="67" t="s">
        <v>31</v>
      </c>
      <c r="C1" s="67"/>
      <c r="D1" s="67" t="s">
        <v>32</v>
      </c>
      <c r="E1" s="67"/>
      <c r="F1" s="67" t="s">
        <v>33</v>
      </c>
      <c r="G1" s="67"/>
      <c r="H1" s="67" t="s">
        <v>34</v>
      </c>
      <c r="I1" s="67"/>
      <c r="J1" s="67" t="s">
        <v>35</v>
      </c>
      <c r="K1" s="67"/>
      <c r="L1" s="67" t="s">
        <v>36</v>
      </c>
      <c r="M1" s="67"/>
      <c r="N1" s="67" t="s">
        <v>37</v>
      </c>
      <c r="O1" s="67"/>
      <c r="P1" s="67" t="s">
        <v>38</v>
      </c>
      <c r="Q1" s="67"/>
      <c r="R1" s="67" t="s">
        <v>39</v>
      </c>
      <c r="S1" s="67"/>
    </row>
    <row r="2" spans="1:19" x14ac:dyDescent="0.35">
      <c r="A2" s="34" t="s">
        <v>70</v>
      </c>
      <c r="B2" s="31">
        <v>30</v>
      </c>
      <c r="C2" s="37">
        <f>B2+$B$30</f>
        <v>44561</v>
      </c>
      <c r="D2" s="31">
        <v>30</v>
      </c>
      <c r="E2" s="37">
        <f>D2+$B$30</f>
        <v>44561</v>
      </c>
      <c r="F2" s="31">
        <v>30</v>
      </c>
      <c r="G2" s="37">
        <f>F2+$B$30</f>
        <v>44561</v>
      </c>
      <c r="H2" s="31">
        <v>30</v>
      </c>
      <c r="I2" s="37">
        <f>H2+$B$30</f>
        <v>44561</v>
      </c>
      <c r="J2" s="31">
        <v>30</v>
      </c>
      <c r="K2" s="37">
        <f>J2+$B$30</f>
        <v>44561</v>
      </c>
      <c r="L2" s="31">
        <v>30</v>
      </c>
      <c r="M2" s="37">
        <f>L2+$B$30</f>
        <v>44561</v>
      </c>
      <c r="N2" s="31">
        <v>30</v>
      </c>
      <c r="O2" s="37">
        <f>N2+$B$30</f>
        <v>44561</v>
      </c>
      <c r="P2" s="31">
        <v>30</v>
      </c>
      <c r="Q2" s="37">
        <f>P2+$B$30</f>
        <v>44561</v>
      </c>
      <c r="R2" s="31">
        <v>30</v>
      </c>
      <c r="S2" s="37">
        <f>R2+$B$30</f>
        <v>44561</v>
      </c>
    </row>
    <row r="3" spans="1:19" x14ac:dyDescent="0.35">
      <c r="A3" s="34" t="s">
        <v>71</v>
      </c>
      <c r="B3" s="31">
        <v>25</v>
      </c>
      <c r="C3" s="37">
        <f>B3+C2</f>
        <v>44586</v>
      </c>
      <c r="D3" s="31">
        <v>25</v>
      </c>
      <c r="E3" s="37">
        <f>D3+E2</f>
        <v>44586</v>
      </c>
      <c r="F3" s="31">
        <v>25</v>
      </c>
      <c r="G3" s="37">
        <f>F3+G2</f>
        <v>44586</v>
      </c>
      <c r="H3" s="31">
        <v>25</v>
      </c>
      <c r="I3" s="37">
        <f>H3+I2</f>
        <v>44586</v>
      </c>
      <c r="J3" s="31">
        <v>25</v>
      </c>
      <c r="K3" s="37">
        <f>J3+K2</f>
        <v>44586</v>
      </c>
      <c r="L3" s="31">
        <v>25</v>
      </c>
      <c r="M3" s="37">
        <f>L3+M2</f>
        <v>44586</v>
      </c>
      <c r="N3" s="31">
        <v>25</v>
      </c>
      <c r="O3" s="37">
        <f>N3+O2</f>
        <v>44586</v>
      </c>
      <c r="P3" s="31">
        <v>25</v>
      </c>
      <c r="Q3" s="37">
        <f>P3+Q2</f>
        <v>44586</v>
      </c>
      <c r="R3" s="31">
        <v>25</v>
      </c>
      <c r="S3" s="37">
        <f>R3+S2</f>
        <v>44586</v>
      </c>
    </row>
    <row r="4" spans="1:19" x14ac:dyDescent="0.35">
      <c r="A4" s="34" t="s">
        <v>72</v>
      </c>
      <c r="B4" s="31">
        <v>21</v>
      </c>
      <c r="C4" s="37">
        <f t="shared" ref="C4:S26" si="0">B4+C3</f>
        <v>44607</v>
      </c>
      <c r="D4" s="31">
        <v>21</v>
      </c>
      <c r="E4" s="37">
        <f t="shared" si="0"/>
        <v>44607</v>
      </c>
      <c r="F4" s="31">
        <v>21</v>
      </c>
      <c r="G4" s="37">
        <f t="shared" si="0"/>
        <v>44607</v>
      </c>
      <c r="H4" s="31">
        <v>21</v>
      </c>
      <c r="I4" s="37">
        <f t="shared" si="0"/>
        <v>44607</v>
      </c>
      <c r="J4" s="31">
        <v>21</v>
      </c>
      <c r="K4" s="37">
        <f t="shared" si="0"/>
        <v>44607</v>
      </c>
      <c r="L4" s="31">
        <v>21</v>
      </c>
      <c r="M4" s="37">
        <f t="shared" si="0"/>
        <v>44607</v>
      </c>
      <c r="N4" s="31">
        <v>21</v>
      </c>
      <c r="O4" s="37">
        <f t="shared" si="0"/>
        <v>44607</v>
      </c>
      <c r="P4" s="31">
        <v>21</v>
      </c>
      <c r="Q4" s="37">
        <f t="shared" si="0"/>
        <v>44607</v>
      </c>
      <c r="R4" s="31">
        <v>21</v>
      </c>
      <c r="S4" s="37">
        <f t="shared" si="0"/>
        <v>44607</v>
      </c>
    </row>
    <row r="5" spans="1:19" x14ac:dyDescent="0.35">
      <c r="A5" s="34" t="s">
        <v>73</v>
      </c>
      <c r="B5" s="31">
        <v>21</v>
      </c>
      <c r="C5" s="37">
        <f t="shared" si="0"/>
        <v>44628</v>
      </c>
      <c r="D5" s="31">
        <v>21</v>
      </c>
      <c r="E5" s="37">
        <f t="shared" si="0"/>
        <v>44628</v>
      </c>
      <c r="F5" s="31">
        <v>21</v>
      </c>
      <c r="G5" s="37">
        <f t="shared" si="0"/>
        <v>44628</v>
      </c>
      <c r="H5" s="31">
        <v>21</v>
      </c>
      <c r="I5" s="37">
        <f t="shared" si="0"/>
        <v>44628</v>
      </c>
      <c r="J5" s="31">
        <v>21</v>
      </c>
      <c r="K5" s="37">
        <f t="shared" si="0"/>
        <v>44628</v>
      </c>
      <c r="L5" s="31">
        <v>21</v>
      </c>
      <c r="M5" s="37">
        <f t="shared" si="0"/>
        <v>44628</v>
      </c>
      <c r="N5" s="31">
        <v>21</v>
      </c>
      <c r="O5" s="37">
        <f t="shared" si="0"/>
        <v>44628</v>
      </c>
      <c r="P5" s="31">
        <v>21</v>
      </c>
      <c r="Q5" s="37">
        <f t="shared" si="0"/>
        <v>44628</v>
      </c>
      <c r="R5" s="31">
        <v>21</v>
      </c>
      <c r="S5" s="37">
        <f t="shared" si="0"/>
        <v>44628</v>
      </c>
    </row>
    <row r="6" spans="1:19" x14ac:dyDescent="0.35">
      <c r="A6" s="34" t="s">
        <v>74</v>
      </c>
      <c r="B6" s="31">
        <v>21</v>
      </c>
      <c r="C6" s="37">
        <f t="shared" si="0"/>
        <v>44649</v>
      </c>
      <c r="D6" s="31">
        <v>21</v>
      </c>
      <c r="E6" s="37">
        <f t="shared" si="0"/>
        <v>44649</v>
      </c>
      <c r="F6" s="31">
        <v>21</v>
      </c>
      <c r="G6" s="37">
        <f t="shared" si="0"/>
        <v>44649</v>
      </c>
      <c r="H6" s="31">
        <v>21</v>
      </c>
      <c r="I6" s="37">
        <f t="shared" si="0"/>
        <v>44649</v>
      </c>
      <c r="J6" s="31">
        <v>21</v>
      </c>
      <c r="K6" s="37">
        <f t="shared" si="0"/>
        <v>44649</v>
      </c>
      <c r="L6" s="31">
        <v>21</v>
      </c>
      <c r="M6" s="37">
        <f t="shared" si="0"/>
        <v>44649</v>
      </c>
      <c r="N6" s="31">
        <v>21</v>
      </c>
      <c r="O6" s="37">
        <f t="shared" si="0"/>
        <v>44649</v>
      </c>
      <c r="P6" s="31">
        <v>21</v>
      </c>
      <c r="Q6" s="37">
        <f t="shared" si="0"/>
        <v>44649</v>
      </c>
      <c r="R6" s="31">
        <v>21</v>
      </c>
      <c r="S6" s="37">
        <f t="shared" si="0"/>
        <v>44649</v>
      </c>
    </row>
    <row r="7" spans="1:19" x14ac:dyDescent="0.35">
      <c r="A7" s="34" t="s">
        <v>75</v>
      </c>
      <c r="B7" s="31">
        <v>18</v>
      </c>
      <c r="C7" s="37">
        <f t="shared" si="0"/>
        <v>44667</v>
      </c>
      <c r="D7" s="31">
        <v>18</v>
      </c>
      <c r="E7" s="37">
        <f t="shared" si="0"/>
        <v>44667</v>
      </c>
      <c r="F7" s="31">
        <v>18</v>
      </c>
      <c r="G7" s="37">
        <f t="shared" si="0"/>
        <v>44667</v>
      </c>
      <c r="H7" s="31">
        <v>18</v>
      </c>
      <c r="I7" s="37">
        <f t="shared" si="0"/>
        <v>44667</v>
      </c>
      <c r="J7" s="31">
        <v>18</v>
      </c>
      <c r="K7" s="37">
        <f t="shared" si="0"/>
        <v>44667</v>
      </c>
      <c r="L7" s="31">
        <v>18</v>
      </c>
      <c r="M7" s="37">
        <f t="shared" si="0"/>
        <v>44667</v>
      </c>
      <c r="N7" s="31">
        <v>18</v>
      </c>
      <c r="O7" s="37">
        <f t="shared" si="0"/>
        <v>44667</v>
      </c>
      <c r="P7" s="31">
        <v>18</v>
      </c>
      <c r="Q7" s="37">
        <f t="shared" si="0"/>
        <v>44667</v>
      </c>
      <c r="R7" s="31">
        <v>18</v>
      </c>
      <c r="S7" s="37">
        <f t="shared" si="0"/>
        <v>44667</v>
      </c>
    </row>
    <row r="8" spans="1:19" x14ac:dyDescent="0.35">
      <c r="A8" s="34" t="s">
        <v>76</v>
      </c>
      <c r="B8" s="32">
        <v>25</v>
      </c>
      <c r="C8" s="37">
        <f t="shared" si="0"/>
        <v>44692</v>
      </c>
      <c r="D8" s="32">
        <v>25</v>
      </c>
      <c r="E8" s="37">
        <f t="shared" si="0"/>
        <v>44692</v>
      </c>
      <c r="F8" s="32">
        <v>25</v>
      </c>
      <c r="G8" s="37">
        <f t="shared" si="0"/>
        <v>44692</v>
      </c>
      <c r="H8" s="32">
        <v>25</v>
      </c>
      <c r="I8" s="37">
        <f t="shared" si="0"/>
        <v>44692</v>
      </c>
      <c r="J8" s="32">
        <v>25</v>
      </c>
      <c r="K8" s="37">
        <f t="shared" si="0"/>
        <v>44692</v>
      </c>
      <c r="L8" s="32">
        <v>25</v>
      </c>
      <c r="M8" s="37">
        <f t="shared" si="0"/>
        <v>44692</v>
      </c>
      <c r="N8" s="32">
        <v>25</v>
      </c>
      <c r="O8" s="37">
        <f t="shared" si="0"/>
        <v>44692</v>
      </c>
      <c r="P8" s="32">
        <v>25</v>
      </c>
      <c r="Q8" s="37">
        <f t="shared" si="0"/>
        <v>44692</v>
      </c>
      <c r="R8" s="32">
        <v>25</v>
      </c>
      <c r="S8" s="37">
        <f t="shared" si="0"/>
        <v>44692</v>
      </c>
    </row>
    <row r="9" spans="1:19" x14ac:dyDescent="0.35">
      <c r="A9" s="34" t="s">
        <v>77</v>
      </c>
      <c r="B9" s="31">
        <v>8</v>
      </c>
      <c r="C9" s="37">
        <f t="shared" si="0"/>
        <v>44700</v>
      </c>
      <c r="D9" s="31">
        <v>8</v>
      </c>
      <c r="E9" s="37">
        <f t="shared" si="0"/>
        <v>44700</v>
      </c>
      <c r="F9" s="31">
        <v>8</v>
      </c>
      <c r="G9" s="37">
        <f t="shared" si="0"/>
        <v>44700</v>
      </c>
      <c r="H9" s="31">
        <v>8</v>
      </c>
      <c r="I9" s="37">
        <f t="shared" si="0"/>
        <v>44700</v>
      </c>
      <c r="J9" s="31">
        <v>8</v>
      </c>
      <c r="K9" s="37">
        <f t="shared" si="0"/>
        <v>44700</v>
      </c>
      <c r="L9" s="31">
        <v>8</v>
      </c>
      <c r="M9" s="37">
        <f t="shared" si="0"/>
        <v>44700</v>
      </c>
      <c r="N9" s="31">
        <v>8</v>
      </c>
      <c r="O9" s="37">
        <f t="shared" si="0"/>
        <v>44700</v>
      </c>
      <c r="P9" s="31">
        <v>8</v>
      </c>
      <c r="Q9" s="37">
        <f t="shared" si="0"/>
        <v>44700</v>
      </c>
      <c r="R9" s="31">
        <v>8</v>
      </c>
      <c r="S9" s="37">
        <f t="shared" si="0"/>
        <v>44700</v>
      </c>
    </row>
    <row r="10" spans="1:19" x14ac:dyDescent="0.35">
      <c r="A10" s="34" t="s">
        <v>78</v>
      </c>
      <c r="B10" s="31">
        <v>8</v>
      </c>
      <c r="C10" s="37">
        <f t="shared" si="0"/>
        <v>44708</v>
      </c>
      <c r="D10" s="31">
        <v>8</v>
      </c>
      <c r="E10" s="37">
        <f t="shared" si="0"/>
        <v>44708</v>
      </c>
      <c r="F10" s="31">
        <v>8</v>
      </c>
      <c r="G10" s="37">
        <f t="shared" si="0"/>
        <v>44708</v>
      </c>
      <c r="H10" s="31">
        <v>8</v>
      </c>
      <c r="I10" s="37">
        <f t="shared" si="0"/>
        <v>44708</v>
      </c>
      <c r="J10" s="31">
        <v>8</v>
      </c>
      <c r="K10" s="37">
        <f t="shared" si="0"/>
        <v>44708</v>
      </c>
      <c r="L10" s="31">
        <v>8</v>
      </c>
      <c r="M10" s="37">
        <f t="shared" si="0"/>
        <v>44708</v>
      </c>
      <c r="N10" s="31">
        <v>8</v>
      </c>
      <c r="O10" s="37">
        <f t="shared" si="0"/>
        <v>44708</v>
      </c>
      <c r="P10" s="31">
        <v>8</v>
      </c>
      <c r="Q10" s="37">
        <f t="shared" si="0"/>
        <v>44708</v>
      </c>
      <c r="R10" s="31">
        <v>8</v>
      </c>
      <c r="S10" s="37">
        <f t="shared" si="0"/>
        <v>44708</v>
      </c>
    </row>
    <row r="11" spans="1:19" x14ac:dyDescent="0.35">
      <c r="A11" s="34" t="s">
        <v>79</v>
      </c>
      <c r="B11" s="31">
        <v>8</v>
      </c>
      <c r="C11" s="37">
        <f t="shared" si="0"/>
        <v>44716</v>
      </c>
      <c r="D11" s="31">
        <v>8</v>
      </c>
      <c r="E11" s="37">
        <f t="shared" si="0"/>
        <v>44716</v>
      </c>
      <c r="F11" s="31">
        <v>8</v>
      </c>
      <c r="G11" s="37">
        <f t="shared" si="0"/>
        <v>44716</v>
      </c>
      <c r="H11" s="31">
        <v>8</v>
      </c>
      <c r="I11" s="37">
        <f t="shared" si="0"/>
        <v>44716</v>
      </c>
      <c r="J11" s="31">
        <v>8</v>
      </c>
      <c r="K11" s="37">
        <f t="shared" si="0"/>
        <v>44716</v>
      </c>
      <c r="L11" s="31">
        <v>8</v>
      </c>
      <c r="M11" s="37">
        <f t="shared" si="0"/>
        <v>44716</v>
      </c>
      <c r="N11" s="31">
        <v>8</v>
      </c>
      <c r="O11" s="37">
        <f t="shared" si="0"/>
        <v>44716</v>
      </c>
      <c r="P11" s="31">
        <v>8</v>
      </c>
      <c r="Q11" s="37">
        <f t="shared" si="0"/>
        <v>44716</v>
      </c>
      <c r="R11" s="31">
        <v>8</v>
      </c>
      <c r="S11" s="37">
        <f t="shared" si="0"/>
        <v>44716</v>
      </c>
    </row>
    <row r="12" spans="1:19" x14ac:dyDescent="0.35">
      <c r="A12" s="34" t="s">
        <v>80</v>
      </c>
      <c r="B12" s="31">
        <v>8</v>
      </c>
      <c r="C12" s="37">
        <f t="shared" si="0"/>
        <v>44724</v>
      </c>
      <c r="D12" s="31">
        <v>8</v>
      </c>
      <c r="E12" s="37">
        <f t="shared" si="0"/>
        <v>44724</v>
      </c>
      <c r="F12" s="31">
        <v>8</v>
      </c>
      <c r="G12" s="37">
        <f t="shared" si="0"/>
        <v>44724</v>
      </c>
      <c r="H12" s="31">
        <v>8</v>
      </c>
      <c r="I12" s="37">
        <f t="shared" si="0"/>
        <v>44724</v>
      </c>
      <c r="J12" s="31">
        <v>8</v>
      </c>
      <c r="K12" s="37">
        <f t="shared" si="0"/>
        <v>44724</v>
      </c>
      <c r="L12" s="31">
        <v>8</v>
      </c>
      <c r="M12" s="37">
        <f t="shared" si="0"/>
        <v>44724</v>
      </c>
      <c r="N12" s="31">
        <v>8</v>
      </c>
      <c r="O12" s="37">
        <f t="shared" si="0"/>
        <v>44724</v>
      </c>
      <c r="P12" s="31">
        <v>8</v>
      </c>
      <c r="Q12" s="37">
        <f t="shared" si="0"/>
        <v>44724</v>
      </c>
      <c r="R12" s="31">
        <v>8</v>
      </c>
      <c r="S12" s="37">
        <f t="shared" si="0"/>
        <v>44724</v>
      </c>
    </row>
    <row r="13" spans="1:19" x14ac:dyDescent="0.35">
      <c r="A13" s="34" t="s">
        <v>81</v>
      </c>
      <c r="B13" s="31">
        <v>8</v>
      </c>
      <c r="C13" s="37">
        <f t="shared" si="0"/>
        <v>44732</v>
      </c>
      <c r="D13" s="31">
        <v>8</v>
      </c>
      <c r="E13" s="37">
        <f t="shared" si="0"/>
        <v>44732</v>
      </c>
      <c r="F13" s="31">
        <v>8</v>
      </c>
      <c r="G13" s="37">
        <f t="shared" si="0"/>
        <v>44732</v>
      </c>
      <c r="H13" s="31">
        <v>8</v>
      </c>
      <c r="I13" s="37">
        <f t="shared" si="0"/>
        <v>44732</v>
      </c>
      <c r="J13" s="31">
        <v>8</v>
      </c>
      <c r="K13" s="37">
        <f t="shared" si="0"/>
        <v>44732</v>
      </c>
      <c r="L13" s="31">
        <v>8</v>
      </c>
      <c r="M13" s="37">
        <f t="shared" si="0"/>
        <v>44732</v>
      </c>
      <c r="N13" s="31">
        <v>8</v>
      </c>
      <c r="O13" s="37">
        <f t="shared" si="0"/>
        <v>44732</v>
      </c>
      <c r="P13" s="31">
        <v>8</v>
      </c>
      <c r="Q13" s="37">
        <f t="shared" si="0"/>
        <v>44732</v>
      </c>
      <c r="R13" s="31">
        <v>8</v>
      </c>
      <c r="S13" s="37">
        <f t="shared" si="0"/>
        <v>44732</v>
      </c>
    </row>
    <row r="14" spans="1:19" x14ac:dyDescent="0.35">
      <c r="A14" s="34" t="s">
        <v>82</v>
      </c>
      <c r="B14" s="31">
        <v>8</v>
      </c>
      <c r="C14" s="37">
        <f t="shared" si="0"/>
        <v>44740</v>
      </c>
      <c r="D14" s="31">
        <v>8</v>
      </c>
      <c r="E14" s="37">
        <f t="shared" si="0"/>
        <v>44740</v>
      </c>
      <c r="F14" s="31">
        <v>8</v>
      </c>
      <c r="G14" s="37">
        <f t="shared" si="0"/>
        <v>44740</v>
      </c>
      <c r="H14" s="31">
        <v>8</v>
      </c>
      <c r="I14" s="37">
        <f t="shared" si="0"/>
        <v>44740</v>
      </c>
      <c r="J14" s="31">
        <v>8</v>
      </c>
      <c r="K14" s="37">
        <f t="shared" si="0"/>
        <v>44740</v>
      </c>
      <c r="L14" s="31">
        <v>8</v>
      </c>
      <c r="M14" s="37">
        <f t="shared" si="0"/>
        <v>44740</v>
      </c>
      <c r="N14" s="31">
        <v>8</v>
      </c>
      <c r="O14" s="37">
        <f t="shared" si="0"/>
        <v>44740</v>
      </c>
      <c r="P14" s="31">
        <v>8</v>
      </c>
      <c r="Q14" s="37">
        <f t="shared" si="0"/>
        <v>44740</v>
      </c>
      <c r="R14" s="31">
        <v>8</v>
      </c>
      <c r="S14" s="37">
        <f t="shared" si="0"/>
        <v>44740</v>
      </c>
    </row>
    <row r="15" spans="1:19" x14ac:dyDescent="0.35">
      <c r="A15" s="34" t="s">
        <v>83</v>
      </c>
      <c r="B15" s="31">
        <v>8</v>
      </c>
      <c r="C15" s="37">
        <f t="shared" si="0"/>
        <v>44748</v>
      </c>
      <c r="D15" s="31">
        <v>8</v>
      </c>
      <c r="E15" s="37">
        <f t="shared" si="0"/>
        <v>44748</v>
      </c>
      <c r="F15" s="31">
        <v>8</v>
      </c>
      <c r="G15" s="37">
        <f t="shared" si="0"/>
        <v>44748</v>
      </c>
      <c r="H15" s="31">
        <v>8</v>
      </c>
      <c r="I15" s="37">
        <f t="shared" si="0"/>
        <v>44748</v>
      </c>
      <c r="J15" s="31">
        <v>8</v>
      </c>
      <c r="K15" s="37">
        <f t="shared" si="0"/>
        <v>44748</v>
      </c>
      <c r="L15" s="31">
        <v>8</v>
      </c>
      <c r="M15" s="37">
        <f t="shared" si="0"/>
        <v>44748</v>
      </c>
      <c r="N15" s="31">
        <v>8</v>
      </c>
      <c r="O15" s="37">
        <f t="shared" si="0"/>
        <v>44748</v>
      </c>
      <c r="P15" s="31">
        <v>8</v>
      </c>
      <c r="Q15" s="37">
        <f t="shared" si="0"/>
        <v>44748</v>
      </c>
      <c r="R15" s="31">
        <v>8</v>
      </c>
      <c r="S15" s="37">
        <f t="shared" si="0"/>
        <v>44748</v>
      </c>
    </row>
    <row r="16" spans="1:19" x14ac:dyDescent="0.35">
      <c r="A16" s="34" t="s">
        <v>84</v>
      </c>
      <c r="B16" s="31">
        <v>8</v>
      </c>
      <c r="C16" s="37">
        <f t="shared" si="0"/>
        <v>44756</v>
      </c>
      <c r="D16" s="31">
        <v>8</v>
      </c>
      <c r="E16" s="37">
        <f t="shared" si="0"/>
        <v>44756</v>
      </c>
      <c r="F16" s="31">
        <v>8</v>
      </c>
      <c r="G16" s="37">
        <f t="shared" si="0"/>
        <v>44756</v>
      </c>
      <c r="H16" s="31">
        <v>8</v>
      </c>
      <c r="I16" s="37">
        <f t="shared" si="0"/>
        <v>44756</v>
      </c>
      <c r="J16" s="31">
        <v>8</v>
      </c>
      <c r="K16" s="37">
        <f t="shared" si="0"/>
        <v>44756</v>
      </c>
      <c r="L16" s="31">
        <v>8</v>
      </c>
      <c r="M16" s="37">
        <f t="shared" si="0"/>
        <v>44756</v>
      </c>
      <c r="N16" s="31">
        <v>8</v>
      </c>
      <c r="O16" s="37">
        <f t="shared" si="0"/>
        <v>44756</v>
      </c>
      <c r="P16" s="31">
        <v>8</v>
      </c>
      <c r="Q16" s="37">
        <f t="shared" si="0"/>
        <v>44756</v>
      </c>
      <c r="R16" s="31">
        <v>8</v>
      </c>
      <c r="S16" s="37">
        <f t="shared" si="0"/>
        <v>44756</v>
      </c>
    </row>
    <row r="17" spans="1:19" x14ac:dyDescent="0.35">
      <c r="A17" s="34" t="s">
        <v>85</v>
      </c>
      <c r="B17" s="31">
        <v>8</v>
      </c>
      <c r="C17" s="37">
        <f t="shared" si="0"/>
        <v>44764</v>
      </c>
      <c r="D17" s="31">
        <v>8</v>
      </c>
      <c r="E17" s="37">
        <f t="shared" si="0"/>
        <v>44764</v>
      </c>
      <c r="F17" s="31">
        <v>8</v>
      </c>
      <c r="G17" s="37">
        <f t="shared" si="0"/>
        <v>44764</v>
      </c>
      <c r="H17" s="31">
        <v>8</v>
      </c>
      <c r="I17" s="37">
        <f t="shared" si="0"/>
        <v>44764</v>
      </c>
      <c r="J17" s="31">
        <v>8</v>
      </c>
      <c r="K17" s="37">
        <f t="shared" si="0"/>
        <v>44764</v>
      </c>
      <c r="L17" s="31">
        <v>8</v>
      </c>
      <c r="M17" s="37">
        <f t="shared" si="0"/>
        <v>44764</v>
      </c>
      <c r="N17" s="31">
        <v>8</v>
      </c>
      <c r="O17" s="37">
        <f t="shared" si="0"/>
        <v>44764</v>
      </c>
      <c r="P17" s="31">
        <v>8</v>
      </c>
      <c r="Q17" s="37">
        <f t="shared" si="0"/>
        <v>44764</v>
      </c>
      <c r="R17" s="31">
        <v>8</v>
      </c>
      <c r="S17" s="37">
        <f t="shared" si="0"/>
        <v>44764</v>
      </c>
    </row>
    <row r="18" spans="1:19" x14ac:dyDescent="0.35">
      <c r="A18" s="34" t="s">
        <v>86</v>
      </c>
      <c r="B18" s="31">
        <v>8</v>
      </c>
      <c r="C18" s="37">
        <f t="shared" si="0"/>
        <v>44772</v>
      </c>
      <c r="D18" s="31">
        <v>8</v>
      </c>
      <c r="E18" s="37">
        <f t="shared" si="0"/>
        <v>44772</v>
      </c>
      <c r="F18" s="31">
        <v>8</v>
      </c>
      <c r="G18" s="37">
        <f t="shared" si="0"/>
        <v>44772</v>
      </c>
      <c r="H18" s="31">
        <v>8</v>
      </c>
      <c r="I18" s="37">
        <f t="shared" si="0"/>
        <v>44772</v>
      </c>
      <c r="J18" s="31">
        <v>8</v>
      </c>
      <c r="K18" s="37">
        <f t="shared" si="0"/>
        <v>44772</v>
      </c>
      <c r="L18" s="31">
        <v>8</v>
      </c>
      <c r="M18" s="37">
        <f t="shared" si="0"/>
        <v>44772</v>
      </c>
      <c r="N18" s="31">
        <v>8</v>
      </c>
      <c r="O18" s="37">
        <f t="shared" si="0"/>
        <v>44772</v>
      </c>
      <c r="P18" s="31">
        <v>8</v>
      </c>
      <c r="Q18" s="37">
        <f t="shared" si="0"/>
        <v>44772</v>
      </c>
      <c r="R18" s="31">
        <v>8</v>
      </c>
      <c r="S18" s="37">
        <f t="shared" si="0"/>
        <v>44772</v>
      </c>
    </row>
    <row r="19" spans="1:19" x14ac:dyDescent="0.35">
      <c r="A19" s="34" t="s">
        <v>87</v>
      </c>
      <c r="B19" s="31">
        <v>8</v>
      </c>
      <c r="C19" s="37">
        <f t="shared" si="0"/>
        <v>44780</v>
      </c>
      <c r="D19" s="31">
        <v>8</v>
      </c>
      <c r="E19" s="37">
        <f t="shared" si="0"/>
        <v>44780</v>
      </c>
      <c r="F19" s="31">
        <v>8</v>
      </c>
      <c r="G19" s="37">
        <f t="shared" si="0"/>
        <v>44780</v>
      </c>
      <c r="H19" s="31">
        <v>8</v>
      </c>
      <c r="I19" s="37">
        <f t="shared" si="0"/>
        <v>44780</v>
      </c>
      <c r="J19" s="31">
        <v>8</v>
      </c>
      <c r="K19" s="37">
        <f t="shared" si="0"/>
        <v>44780</v>
      </c>
      <c r="L19" s="31">
        <v>8</v>
      </c>
      <c r="M19" s="37">
        <f t="shared" si="0"/>
        <v>44780</v>
      </c>
      <c r="N19" s="31">
        <v>8</v>
      </c>
      <c r="O19" s="37">
        <f t="shared" si="0"/>
        <v>44780</v>
      </c>
      <c r="P19" s="31">
        <v>8</v>
      </c>
      <c r="Q19" s="37">
        <f t="shared" si="0"/>
        <v>44780</v>
      </c>
      <c r="R19" s="31">
        <v>8</v>
      </c>
      <c r="S19" s="37">
        <f t="shared" si="0"/>
        <v>44780</v>
      </c>
    </row>
    <row r="20" spans="1:19" x14ac:dyDescent="0.35">
      <c r="A20" s="34" t="s">
        <v>88</v>
      </c>
      <c r="B20" s="31">
        <v>8</v>
      </c>
      <c r="C20" s="37">
        <f t="shared" si="0"/>
        <v>44788</v>
      </c>
      <c r="D20" s="31">
        <v>8</v>
      </c>
      <c r="E20" s="37">
        <f t="shared" si="0"/>
        <v>44788</v>
      </c>
      <c r="F20" s="31">
        <v>8</v>
      </c>
      <c r="G20" s="37">
        <f t="shared" si="0"/>
        <v>44788</v>
      </c>
      <c r="H20" s="31">
        <v>8</v>
      </c>
      <c r="I20" s="37">
        <f t="shared" si="0"/>
        <v>44788</v>
      </c>
      <c r="J20" s="31">
        <v>8</v>
      </c>
      <c r="K20" s="37">
        <f t="shared" si="0"/>
        <v>44788</v>
      </c>
      <c r="L20" s="31">
        <v>8</v>
      </c>
      <c r="M20" s="37">
        <f t="shared" si="0"/>
        <v>44788</v>
      </c>
      <c r="N20" s="31">
        <v>8</v>
      </c>
      <c r="O20" s="37">
        <f t="shared" si="0"/>
        <v>44788</v>
      </c>
      <c r="P20" s="31">
        <v>8</v>
      </c>
      <c r="Q20" s="37">
        <f t="shared" si="0"/>
        <v>44788</v>
      </c>
      <c r="R20" s="31">
        <v>8</v>
      </c>
      <c r="S20" s="37">
        <f t="shared" si="0"/>
        <v>44788</v>
      </c>
    </row>
    <row r="21" spans="1:19" x14ac:dyDescent="0.35">
      <c r="A21" s="34" t="s">
        <v>89</v>
      </c>
      <c r="B21" s="31">
        <v>8</v>
      </c>
      <c r="C21" s="37">
        <f t="shared" si="0"/>
        <v>44796</v>
      </c>
      <c r="D21" s="31">
        <v>8</v>
      </c>
      <c r="E21" s="37">
        <f t="shared" si="0"/>
        <v>44796</v>
      </c>
      <c r="F21" s="31">
        <v>8</v>
      </c>
      <c r="G21" s="37">
        <f t="shared" si="0"/>
        <v>44796</v>
      </c>
      <c r="H21" s="31">
        <v>8</v>
      </c>
      <c r="I21" s="37">
        <f t="shared" si="0"/>
        <v>44796</v>
      </c>
      <c r="J21" s="31">
        <v>8</v>
      </c>
      <c r="K21" s="37">
        <f t="shared" si="0"/>
        <v>44796</v>
      </c>
      <c r="L21" s="31">
        <v>8</v>
      </c>
      <c r="M21" s="37">
        <f t="shared" si="0"/>
        <v>44796</v>
      </c>
      <c r="N21" s="31">
        <v>8</v>
      </c>
      <c r="O21" s="37">
        <f t="shared" si="0"/>
        <v>44796</v>
      </c>
      <c r="P21" s="31">
        <v>8</v>
      </c>
      <c r="Q21" s="37">
        <f t="shared" si="0"/>
        <v>44796</v>
      </c>
      <c r="R21" s="31">
        <v>8</v>
      </c>
      <c r="S21" s="37">
        <f t="shared" si="0"/>
        <v>44796</v>
      </c>
    </row>
    <row r="22" spans="1:19" x14ac:dyDescent="0.35">
      <c r="A22" s="34" t="s">
        <v>90</v>
      </c>
      <c r="B22" s="31">
        <v>8</v>
      </c>
      <c r="C22" s="37">
        <f t="shared" si="0"/>
        <v>44804</v>
      </c>
      <c r="D22" s="31">
        <v>8</v>
      </c>
      <c r="E22" s="37">
        <f t="shared" si="0"/>
        <v>44804</v>
      </c>
      <c r="F22" s="31">
        <v>8</v>
      </c>
      <c r="G22" s="37">
        <f t="shared" si="0"/>
        <v>44804</v>
      </c>
      <c r="H22" s="31">
        <v>8</v>
      </c>
      <c r="I22" s="37">
        <f t="shared" si="0"/>
        <v>44804</v>
      </c>
      <c r="J22" s="31">
        <v>8</v>
      </c>
      <c r="K22" s="37">
        <f t="shared" si="0"/>
        <v>44804</v>
      </c>
      <c r="L22" s="31">
        <v>8</v>
      </c>
      <c r="M22" s="37">
        <f t="shared" si="0"/>
        <v>44804</v>
      </c>
      <c r="N22" s="31">
        <v>8</v>
      </c>
      <c r="O22" s="37">
        <f t="shared" si="0"/>
        <v>44804</v>
      </c>
      <c r="P22" s="31">
        <v>8</v>
      </c>
      <c r="Q22" s="37">
        <f t="shared" si="0"/>
        <v>44804</v>
      </c>
      <c r="R22" s="31">
        <v>8</v>
      </c>
      <c r="S22" s="37">
        <f t="shared" si="0"/>
        <v>44804</v>
      </c>
    </row>
    <row r="23" spans="1:19" x14ac:dyDescent="0.35">
      <c r="A23" s="34" t="s">
        <v>91</v>
      </c>
      <c r="B23" s="31">
        <v>8</v>
      </c>
      <c r="C23" s="37">
        <f t="shared" si="0"/>
        <v>44812</v>
      </c>
      <c r="D23" s="31">
        <v>8</v>
      </c>
      <c r="E23" s="37">
        <f t="shared" si="0"/>
        <v>44812</v>
      </c>
      <c r="F23" s="31">
        <v>8</v>
      </c>
      <c r="G23" s="37">
        <f t="shared" si="0"/>
        <v>44812</v>
      </c>
      <c r="H23" s="31">
        <v>8</v>
      </c>
      <c r="I23" s="37">
        <f t="shared" si="0"/>
        <v>44812</v>
      </c>
      <c r="J23" s="31">
        <v>8</v>
      </c>
      <c r="K23" s="37">
        <f t="shared" si="0"/>
        <v>44812</v>
      </c>
      <c r="L23" s="31">
        <v>8</v>
      </c>
      <c r="M23" s="37">
        <f t="shared" si="0"/>
        <v>44812</v>
      </c>
      <c r="N23" s="31">
        <v>8</v>
      </c>
      <c r="O23" s="37">
        <f t="shared" si="0"/>
        <v>44812</v>
      </c>
      <c r="P23" s="31">
        <v>8</v>
      </c>
      <c r="Q23" s="37">
        <f t="shared" si="0"/>
        <v>44812</v>
      </c>
      <c r="R23" s="31">
        <v>8</v>
      </c>
      <c r="S23" s="37">
        <f t="shared" si="0"/>
        <v>44812</v>
      </c>
    </row>
    <row r="24" spans="1:19" x14ac:dyDescent="0.35">
      <c r="A24" s="34" t="s">
        <v>92</v>
      </c>
      <c r="B24" s="31">
        <v>8</v>
      </c>
      <c r="C24" s="37">
        <f t="shared" si="0"/>
        <v>44820</v>
      </c>
      <c r="D24" s="31">
        <v>8</v>
      </c>
      <c r="E24" s="37">
        <f t="shared" si="0"/>
        <v>44820</v>
      </c>
      <c r="F24" s="31">
        <v>8</v>
      </c>
      <c r="G24" s="37">
        <f t="shared" si="0"/>
        <v>44820</v>
      </c>
      <c r="H24" s="31">
        <v>8</v>
      </c>
      <c r="I24" s="37">
        <f t="shared" si="0"/>
        <v>44820</v>
      </c>
      <c r="J24" s="31">
        <v>8</v>
      </c>
      <c r="K24" s="37">
        <f t="shared" si="0"/>
        <v>44820</v>
      </c>
      <c r="L24" s="31">
        <v>8</v>
      </c>
      <c r="M24" s="37">
        <f t="shared" si="0"/>
        <v>44820</v>
      </c>
      <c r="N24" s="31">
        <v>8</v>
      </c>
      <c r="O24" s="37">
        <f t="shared" si="0"/>
        <v>44820</v>
      </c>
      <c r="P24" s="31">
        <v>8</v>
      </c>
      <c r="Q24" s="37">
        <f t="shared" si="0"/>
        <v>44820</v>
      </c>
      <c r="R24" s="31">
        <v>8</v>
      </c>
      <c r="S24" s="37">
        <f t="shared" si="0"/>
        <v>44820</v>
      </c>
    </row>
    <row r="25" spans="1:19" x14ac:dyDescent="0.35">
      <c r="A25" s="34" t="s">
        <v>93</v>
      </c>
      <c r="B25" s="31"/>
      <c r="C25" s="37"/>
      <c r="D25" s="31"/>
      <c r="E25" s="37"/>
      <c r="F25" s="31">
        <v>8</v>
      </c>
      <c r="G25" s="37">
        <f t="shared" si="0"/>
        <v>44828</v>
      </c>
      <c r="H25" s="31">
        <v>8</v>
      </c>
      <c r="I25" s="37">
        <f t="shared" si="0"/>
        <v>44828</v>
      </c>
      <c r="J25" s="31">
        <v>8</v>
      </c>
      <c r="K25" s="37">
        <f t="shared" si="0"/>
        <v>44828</v>
      </c>
      <c r="L25" s="31">
        <v>8</v>
      </c>
      <c r="M25" s="37">
        <f t="shared" si="0"/>
        <v>44828</v>
      </c>
      <c r="N25" s="31">
        <v>8</v>
      </c>
      <c r="O25" s="37">
        <f t="shared" si="0"/>
        <v>44828</v>
      </c>
      <c r="P25" s="31">
        <v>8</v>
      </c>
      <c r="Q25" s="37">
        <f t="shared" si="0"/>
        <v>44828</v>
      </c>
      <c r="R25" s="31">
        <v>8</v>
      </c>
      <c r="S25" s="37">
        <f t="shared" si="0"/>
        <v>44828</v>
      </c>
    </row>
    <row r="26" spans="1:19" x14ac:dyDescent="0.35">
      <c r="A26" s="34" t="s">
        <v>5</v>
      </c>
      <c r="B26" s="31">
        <v>15</v>
      </c>
      <c r="C26" s="37">
        <f>B26+C24</f>
        <v>44835</v>
      </c>
      <c r="D26" s="31">
        <v>15</v>
      </c>
      <c r="E26" s="37">
        <f>D26+E24</f>
        <v>44835</v>
      </c>
      <c r="F26" s="31">
        <v>15</v>
      </c>
      <c r="G26" s="37">
        <f t="shared" si="0"/>
        <v>44843</v>
      </c>
      <c r="H26" s="31">
        <v>15</v>
      </c>
      <c r="I26" s="37">
        <f t="shared" si="0"/>
        <v>44843</v>
      </c>
      <c r="J26" s="31">
        <v>15</v>
      </c>
      <c r="K26" s="37">
        <f t="shared" si="0"/>
        <v>44843</v>
      </c>
      <c r="L26" s="31">
        <v>15</v>
      </c>
      <c r="M26" s="37">
        <f t="shared" si="0"/>
        <v>44843</v>
      </c>
      <c r="N26" s="31">
        <v>15</v>
      </c>
      <c r="O26" s="37">
        <f t="shared" si="0"/>
        <v>44843</v>
      </c>
      <c r="P26" s="31">
        <v>15</v>
      </c>
      <c r="Q26" s="37">
        <f t="shared" si="0"/>
        <v>44843</v>
      </c>
      <c r="R26" s="31">
        <v>15</v>
      </c>
      <c r="S26" s="37">
        <f t="shared" si="0"/>
        <v>44843</v>
      </c>
    </row>
    <row r="27" spans="1:19" x14ac:dyDescent="0.35">
      <c r="A27" s="34" t="s">
        <v>94</v>
      </c>
      <c r="B27" s="32">
        <f>SUM(B2:B26)</f>
        <v>304</v>
      </c>
      <c r="C27" s="37"/>
      <c r="D27" s="32">
        <f t="shared" ref="D27:R27" si="1">SUM(D2:D26)</f>
        <v>304</v>
      </c>
      <c r="E27" s="32"/>
      <c r="F27" s="32">
        <f t="shared" si="1"/>
        <v>312</v>
      </c>
      <c r="G27" s="32"/>
      <c r="H27" s="32">
        <f t="shared" si="1"/>
        <v>312</v>
      </c>
      <c r="I27" s="32"/>
      <c r="J27" s="32">
        <f t="shared" si="1"/>
        <v>312</v>
      </c>
      <c r="K27" s="32"/>
      <c r="L27" s="32">
        <f t="shared" si="1"/>
        <v>312</v>
      </c>
      <c r="M27" s="32"/>
      <c r="N27" s="32">
        <f t="shared" si="1"/>
        <v>312</v>
      </c>
      <c r="O27" s="32"/>
      <c r="P27" s="32">
        <f t="shared" si="1"/>
        <v>312</v>
      </c>
      <c r="Q27" s="32"/>
      <c r="R27" s="32">
        <f t="shared" si="1"/>
        <v>312</v>
      </c>
    </row>
    <row r="30" spans="1:19" x14ac:dyDescent="0.35">
      <c r="B30" s="36">
        <v>44531</v>
      </c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EI, PH2B - Cycle time</vt:lpstr>
      <vt:lpstr>Concrete qty</vt:lpstr>
      <vt:lpstr>Consumptions</vt:lpstr>
      <vt:lpstr>Steel &amp; Shuttering qty</vt:lpstr>
      <vt:lpstr>Ind stds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Kuhikar</dc:creator>
  <cp:lastModifiedBy>Aniket Kuhikar</cp:lastModifiedBy>
  <dcterms:created xsi:type="dcterms:W3CDTF">2026-02-16T06:52:51Z</dcterms:created>
  <dcterms:modified xsi:type="dcterms:W3CDTF">2026-05-24T08:11:18Z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2026-02-16T06:54:41Z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39095b90-4441-4f50-a5ec-284bd62cb2cf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