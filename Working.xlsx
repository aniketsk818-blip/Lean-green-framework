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IIT Notes\5. Final Year MTP\Thesis - Final\"/>
    </mc:Choice>
  </mc:AlternateContent>
  <xr:revisionPtr revIDLastSave="0" documentId="13_ncr:1_{7D1A8800-950A-4FA7-858A-88819E478EE0}" xr6:coauthVersionLast="47" xr6:coauthVersionMax="47" xr10:uidLastSave="{00000000-0000-0000-0000-000000000000}"/>
  <bookViews>
    <workbookView xWindow="-110" yWindow="-110" windowWidth="19420" windowHeight="11500" activeTab="3" xr2:uid="{A471460C-EAB4-44A4-8538-C5D05B2AA956}"/>
  </bookViews>
  <sheets>
    <sheet name="Exc01" sheetId="5" r:id="rId1"/>
    <sheet name="Exc02" sheetId="6" r:id="rId2"/>
    <sheet name="Exc03" sheetId="7" r:id="rId3"/>
    <sheet name="Exc04" sheetId="8" r:id="rId4"/>
    <sheet name="Dashboard Data" sheetId="13" r:id="rId5"/>
    <sheet name="Shore Piling" sheetId="1" r:id="rId6"/>
    <sheet name="DB - Shore piling" sheetId="4" r:id="rId7"/>
    <sheet name="Excavation" sheetId="9" r:id="rId8"/>
    <sheet name="DB - Excavation" sheetId="11" r:id="rId9"/>
  </sheets>
  <definedNames>
    <definedName name="_xlnm.Print_Area" localSheetId="6">'DB - Shore piling'!$B$3:$M$27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7" i="13" l="1"/>
  <c r="D36" i="13"/>
  <c r="D35" i="13"/>
  <c r="D34" i="13"/>
  <c r="D33" i="13"/>
  <c r="D32" i="13"/>
  <c r="D31" i="13"/>
  <c r="D30" i="13"/>
  <c r="D29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F27" i="13"/>
  <c r="F26" i="13"/>
  <c r="E28" i="13"/>
  <c r="E27" i="13"/>
  <c r="E26" i="13"/>
  <c r="D28" i="13"/>
  <c r="D27" i="13"/>
  <c r="D26" i="13"/>
  <c r="D2" i="13"/>
  <c r="E2" i="13"/>
  <c r="F2" i="13"/>
  <c r="D3" i="13"/>
  <c r="E3" i="13"/>
  <c r="F3" i="13"/>
  <c r="D4" i="13"/>
  <c r="E4" i="13"/>
  <c r="F4" i="13"/>
  <c r="D5" i="13"/>
  <c r="E5" i="13"/>
  <c r="F5" i="13"/>
  <c r="D6" i="13"/>
  <c r="E6" i="13"/>
  <c r="F6" i="13"/>
  <c r="D7" i="13"/>
  <c r="E7" i="13"/>
  <c r="F7" i="13"/>
  <c r="D8" i="13"/>
  <c r="E8" i="13"/>
  <c r="F8" i="13"/>
  <c r="D9" i="13"/>
  <c r="E9" i="13"/>
  <c r="F9" i="13"/>
  <c r="D10" i="13"/>
  <c r="E10" i="13"/>
  <c r="F10" i="13"/>
  <c r="D11" i="13"/>
  <c r="E11" i="13"/>
  <c r="F11" i="13"/>
  <c r="D12" i="13"/>
  <c r="E12" i="13"/>
  <c r="F12" i="13"/>
  <c r="D13" i="13"/>
  <c r="E13" i="13"/>
  <c r="F13" i="13"/>
  <c r="D14" i="13"/>
  <c r="E14" i="13"/>
  <c r="F14" i="13"/>
  <c r="D15" i="13"/>
  <c r="E15" i="13"/>
  <c r="F15" i="13"/>
  <c r="D16" i="13"/>
  <c r="E16" i="13"/>
  <c r="F16" i="13"/>
  <c r="D17" i="13"/>
  <c r="E17" i="13"/>
  <c r="F17" i="13"/>
  <c r="D18" i="13"/>
  <c r="E18" i="13"/>
  <c r="F18" i="13"/>
  <c r="D19" i="13"/>
  <c r="E19" i="13"/>
  <c r="F19" i="13"/>
  <c r="D20" i="13"/>
  <c r="E20" i="13"/>
  <c r="F20" i="13"/>
  <c r="D21" i="13"/>
  <c r="E21" i="13"/>
  <c r="F21" i="13"/>
  <c r="D22" i="13"/>
  <c r="E22" i="13"/>
  <c r="F22" i="13"/>
  <c r="D23" i="13"/>
  <c r="E23" i="13"/>
  <c r="F23" i="13"/>
  <c r="D24" i="13"/>
  <c r="E24" i="13"/>
  <c r="F24" i="13"/>
  <c r="D25" i="13"/>
  <c r="E25" i="13"/>
  <c r="F25" i="13"/>
  <c r="C4" i="6"/>
  <c r="C42" i="9"/>
  <c r="C19" i="8"/>
  <c r="C39" i="9"/>
  <c r="B39" i="9"/>
  <c r="B28" i="9"/>
  <c r="C28" i="9"/>
  <c r="D28" i="9"/>
  <c r="B29" i="9"/>
  <c r="C29" i="9"/>
  <c r="D29" i="9"/>
  <c r="B30" i="9"/>
  <c r="C30" i="9"/>
  <c r="D30" i="9"/>
  <c r="C27" i="9"/>
  <c r="D27" i="9"/>
  <c r="B27" i="9"/>
  <c r="C18" i="9"/>
  <c r="O4" i="6"/>
  <c r="D18" i="9" s="1"/>
  <c r="B8" i="9"/>
  <c r="B26" i="9" l="1"/>
  <c r="D26" i="9"/>
  <c r="C26" i="9"/>
  <c r="D7" i="11"/>
  <c r="D6" i="11"/>
  <c r="D6" i="4"/>
  <c r="E6" i="4"/>
  <c r="D7" i="4"/>
  <c r="E7" i="4"/>
  <c r="D8" i="4"/>
  <c r="E8" i="4"/>
  <c r="D20" i="8" l="1"/>
  <c r="C12" i="6"/>
  <c r="C10" i="6"/>
  <c r="D9" i="6"/>
  <c r="C9" i="6"/>
  <c r="E7" i="5"/>
  <c r="C5" i="8"/>
  <c r="D5" i="8"/>
  <c r="E5" i="8"/>
  <c r="C6" i="8"/>
  <c r="D6" i="8"/>
  <c r="E6" i="8"/>
  <c r="E7" i="8" s="1"/>
  <c r="D35" i="9" s="1"/>
  <c r="C7" i="8"/>
  <c r="B35" i="9" s="1"/>
  <c r="D7" i="8"/>
  <c r="C35" i="9" s="1"/>
  <c r="C12" i="8"/>
  <c r="B38" i="9" s="1"/>
  <c r="B40" i="9" s="1"/>
  <c r="D12" i="8"/>
  <c r="C38" i="9" s="1"/>
  <c r="C40" i="9" s="1"/>
  <c r="E12" i="8"/>
  <c r="D38" i="9" s="1"/>
  <c r="E13" i="8"/>
  <c r="D39" i="9" s="1"/>
  <c r="E20" i="8"/>
  <c r="D42" i="9" s="1"/>
  <c r="G5" i="7"/>
  <c r="H5" i="7"/>
  <c r="G6" i="7"/>
  <c r="H6" i="7" s="1"/>
  <c r="G4" i="6"/>
  <c r="P4" i="6" s="1"/>
  <c r="Q4" i="6" s="1"/>
  <c r="E8" i="6" s="1"/>
  <c r="E10" i="6" s="1"/>
  <c r="E12" i="6" s="1"/>
  <c r="C16" i="6" s="1"/>
  <c r="E9" i="6"/>
  <c r="C11" i="6"/>
  <c r="L14" i="6"/>
  <c r="C15" i="6"/>
  <c r="K15" i="6"/>
  <c r="N15" i="6" s="1"/>
  <c r="O15" i="6" s="1"/>
  <c r="P15" i="6" s="1"/>
  <c r="L15" i="6"/>
  <c r="M15" i="6"/>
  <c r="G4" i="5"/>
  <c r="G6" i="5"/>
  <c r="E11" i="5"/>
  <c r="F7" i="5"/>
  <c r="G7" i="5"/>
  <c r="G9" i="5"/>
  <c r="G10" i="5"/>
  <c r="F11" i="5"/>
  <c r="D40" i="9" l="1"/>
  <c r="B2" i="9"/>
  <c r="E4" i="6"/>
  <c r="K4" i="6"/>
  <c r="L4" i="6" s="1"/>
  <c r="D8" i="6" s="1"/>
  <c r="C8" i="6"/>
  <c r="C20" i="8" s="1"/>
  <c r="B42" i="9" s="1"/>
  <c r="C14" i="8"/>
  <c r="E14" i="8"/>
  <c r="E19" i="8" s="1"/>
  <c r="D14" i="8"/>
  <c r="D19" i="8" s="1"/>
  <c r="D10" i="6"/>
  <c r="D12" i="6" s="1"/>
  <c r="C14" i="6" s="1"/>
  <c r="G8" i="5"/>
  <c r="G11" i="5" s="1"/>
  <c r="G8" i="6" l="1"/>
  <c r="H8" i="6" s="1"/>
  <c r="D19" i="9"/>
  <c r="D20" i="9" s="1"/>
  <c r="D24" i="9" s="1"/>
  <c r="D25" i="9" s="1"/>
  <c r="B6" i="9"/>
  <c r="C19" i="9"/>
  <c r="C20" i="9" s="1"/>
  <c r="C24" i="9" s="1"/>
  <c r="C25" i="9" s="1"/>
  <c r="B19" i="9"/>
  <c r="B20" i="9" s="1"/>
  <c r="B24" i="9" s="1"/>
  <c r="B25" i="9" s="1"/>
  <c r="B3" i="9"/>
  <c r="B4" i="9" s="1"/>
  <c r="D5" i="5"/>
  <c r="D6" i="5" s="1"/>
  <c r="D7" i="5" s="1"/>
  <c r="F4" i="6"/>
  <c r="J7" i="6" s="1"/>
  <c r="B21" i="1"/>
  <c r="D23" i="1"/>
  <c r="C23" i="1"/>
  <c r="B23" i="1"/>
  <c r="D20" i="1"/>
  <c r="C20" i="1"/>
  <c r="B20" i="1"/>
  <c r="B4" i="1"/>
  <c r="D4" i="8" l="1"/>
  <c r="D22" i="1"/>
  <c r="D21" i="1"/>
  <c r="C22" i="1"/>
  <c r="B22" i="1"/>
  <c r="B26" i="1" s="1"/>
  <c r="C21" i="1"/>
  <c r="B7" i="1"/>
  <c r="B8" i="1" s="1"/>
  <c r="B9" i="1" s="1"/>
  <c r="E4" i="8" l="1"/>
  <c r="D8" i="8"/>
  <c r="D18" i="8" s="1"/>
  <c r="D21" i="8" s="1"/>
  <c r="C4" i="8"/>
  <c r="C34" i="9"/>
  <c r="C36" i="9" s="1"/>
  <c r="C43" i="9" s="1"/>
  <c r="D26" i="1"/>
  <c r="C24" i="1"/>
  <c r="C25" i="1" s="1"/>
  <c r="D24" i="1"/>
  <c r="D25" i="1" s="1"/>
  <c r="B24" i="1"/>
  <c r="B25" i="1" s="1"/>
  <c r="C26" i="1"/>
  <c r="B34" i="9" l="1"/>
  <c r="B36" i="9" s="1"/>
  <c r="B43" i="9" s="1"/>
  <c r="C8" i="8"/>
  <c r="C18" i="8" s="1"/>
  <c r="C21" i="8" s="1"/>
  <c r="D34" i="9"/>
  <c r="D36" i="9" s="1"/>
  <c r="D43" i="9" s="1"/>
  <c r="E8" i="8"/>
  <c r="E18" i="8" s="1"/>
  <c r="E21" i="8" s="1"/>
  <c r="E22" i="8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<sst xmlns="http://schemas.openxmlformats.org/spreadsheetml/2006/main" count="473" uniqueCount="282">
  <si>
    <t>Depth</t>
  </si>
  <si>
    <t>Diameter</t>
  </si>
  <si>
    <t>Gap b/w piles</t>
  </si>
  <si>
    <t>Total distance</t>
  </si>
  <si>
    <t>Total piles</t>
  </si>
  <si>
    <t>Baseline duration</t>
  </si>
  <si>
    <t>Total piling RMT</t>
  </si>
  <si>
    <t>Productivity</t>
  </si>
  <si>
    <t>Piles /day</t>
  </si>
  <si>
    <t>Total days</t>
  </si>
  <si>
    <t>Event Component</t>
  </si>
  <si>
    <t>Industry Std (45d)</t>
  </si>
  <si>
    <t>Baseline (60d)</t>
  </si>
  <si>
    <t>Actual (110d)</t>
  </si>
  <si>
    <t>Rig Positioning</t>
  </si>
  <si>
    <t>Boring (0-8m Soil)</t>
  </si>
  <si>
    <t>Boring (8-18m Rock)</t>
  </si>
  <si>
    <t>Cleaning &amp; Flushing</t>
  </si>
  <si>
    <t>Cage Lowering</t>
  </si>
  <si>
    <t>RMC Wait Lag</t>
  </si>
  <si>
    <t>Concreting (9.14m³)</t>
  </si>
  <si>
    <t>Rig Shifting</t>
  </si>
  <si>
    <t>Total Cycle / Pile</t>
  </si>
  <si>
    <t>Working fuel</t>
  </si>
  <si>
    <t>Idle Fuel</t>
  </si>
  <si>
    <t>Electricity usage/h (duty factor - 0.4 )</t>
  </si>
  <si>
    <t>Total carbon (Tonnes)</t>
  </si>
  <si>
    <t>Carbon/pile(kg)</t>
  </si>
  <si>
    <t>Idle Waste Factor</t>
  </si>
  <si>
    <t>N</t>
  </si>
  <si>
    <t>1. Rig Positioning</t>
  </si>
  <si>
    <t>2. Boring (0-8m Soil)</t>
  </si>
  <si>
    <t>3. Boring (8-18m Rock)</t>
  </si>
  <si>
    <t>4. Cleaning &amp; Flushing</t>
  </si>
  <si>
    <t>5. Cage Lowering</t>
  </si>
  <si>
    <t>6. RMC Wait Lag</t>
  </si>
  <si>
    <t>7. Concreting Work</t>
  </si>
  <si>
    <t>8. Rig Shifting</t>
  </si>
  <si>
    <t>Simulated Project Duration:</t>
  </si>
  <si>
    <t>Net Carbon Footprint:</t>
  </si>
  <si>
    <t>Enable Value Stream Mapping (VSM)? (Y/N):</t>
  </si>
  <si>
    <t>Enable Just-In-Time (JIT)? (Y/N):</t>
  </si>
  <si>
    <t>Enable Parallel Processing? (Y/N):</t>
  </si>
  <si>
    <t>Operational Activity Step</t>
  </si>
  <si>
    <t>Baseline Duration</t>
  </si>
  <si>
    <t>Lean Optimized Duration</t>
  </si>
  <si>
    <t>Idle Wait Waste (min)</t>
  </si>
  <si>
    <t>Shingo’s Seven Wastes (Muda) / Lean Construction Theory</t>
  </si>
  <si>
    <t>Positioning (Out) (min)</t>
  </si>
  <si>
    <t>Caterpillar Performance Handbook (Edition 49/Current)
Construction Planning, Equipment, and Methods" (McGraw-Hill)</t>
  </si>
  <si>
    <t>Active Loading Time (min)</t>
  </si>
  <si>
    <t>Komatsu Specifications &amp; Application Handbook.
CPWD Analysis of Rates (Government of India)</t>
  </si>
  <si>
    <t>Positioning (In) (min)</t>
  </si>
  <si>
    <t>Total Cycle Time (min)</t>
  </si>
  <si>
    <t>Peurifoy’s Construction Planning (Fixed Cycle Constant)</t>
  </si>
  <si>
    <t>Trips per Machine (Mc)</t>
  </si>
  <si>
    <t>Primary Reference</t>
  </si>
  <si>
    <t>Trips per Day (Total)</t>
  </si>
  <si>
    <t>Mathematical Step / Formula</t>
  </si>
  <si>
    <t>Actual (255)</t>
  </si>
  <si>
    <t>Baseline (75d)</t>
  </si>
  <si>
    <t>Industry Standards</t>
  </si>
  <si>
    <t>Component</t>
  </si>
  <si>
    <t>Actual</t>
  </si>
  <si>
    <t xml:space="preserve">Industry standards
with ideal logistics </t>
  </si>
  <si>
    <t>-</t>
  </si>
  <si>
    <t>Baseline</t>
  </si>
  <si>
    <t>Total time for each truck
(1. Entry
2. Loaded
3. Exit)</t>
  </si>
  <si>
    <t>Waiting</t>
  </si>
  <si>
    <t>Exit</t>
  </si>
  <si>
    <t>Loaded</t>
  </si>
  <si>
    <t>Entry &amp; Park</t>
  </si>
  <si>
    <t>Trucks attended / excavator / hour</t>
  </si>
  <si>
    <t>Nos. of Excavators</t>
  </si>
  <si>
    <t>Trips/hour</t>
  </si>
  <si>
    <t>Work shift (8-6pm, 1 hr lunch)</t>
  </si>
  <si>
    <t>Total Trips/day</t>
  </si>
  <si>
    <t>Actual achieved</t>
  </si>
  <si>
    <t>Baseline considered</t>
  </si>
  <si>
    <t>Excavation</t>
  </si>
  <si>
    <t>Total</t>
  </si>
  <si>
    <t>Rock</t>
  </si>
  <si>
    <t>Soil</t>
  </si>
  <si>
    <t>Daily trips
(10m3/truck)</t>
  </si>
  <si>
    <t xml:space="preserve">Actual Daily output </t>
  </si>
  <si>
    <t>Actual duration
(days)</t>
  </si>
  <si>
    <t>Actual Finish</t>
  </si>
  <si>
    <t>Actual Start</t>
  </si>
  <si>
    <t>Daily output 
req.</t>
  </si>
  <si>
    <t>Baseline duration
(days)</t>
  </si>
  <si>
    <t>Baseline Finish</t>
  </si>
  <si>
    <t>Baseline Start</t>
  </si>
  <si>
    <t>Total Qty
(Cum.)</t>
  </si>
  <si>
    <t>Depth
(m)</t>
  </si>
  <si>
    <t>Total Area
(m2)</t>
  </si>
  <si>
    <t>Activity</t>
  </si>
  <si>
    <t>Congestion crawl/Gate wait</t>
  </si>
  <si>
    <t>L/hr</t>
  </si>
  <si>
    <t>Truck Idle Fuel Rate</t>
  </si>
  <si>
    <t>Engine-on, no-load (Wait/Pos)</t>
  </si>
  <si>
    <t>Excavator Idle Fuel Rate</t>
  </si>
  <si>
    <t>CEA Indian Grid Factor</t>
  </si>
  <si>
    <t>kgCO2e/kWh</t>
  </si>
  <si>
    <t>Grid Emission Factor</t>
  </si>
  <si>
    <t>IPCC/ICE Database</t>
  </si>
  <si>
    <t>kgCO2e/L</t>
  </si>
  <si>
    <t>Diesel Emission Factor</t>
  </si>
  <si>
    <t>Lead to dumping site</t>
  </si>
  <si>
    <t>km</t>
  </si>
  <si>
    <t>Round Trip Distance</t>
  </si>
  <si>
    <t>20-ton class</t>
  </si>
  <si>
    <t>Units</t>
  </si>
  <si>
    <t>No. of Excavators</t>
  </si>
  <si>
    <t>9 hrs * 60 mins</t>
  </si>
  <si>
    <t>Minutes</t>
  </si>
  <si>
    <t>Total Shift Minutes</t>
  </si>
  <si>
    <t>09:00 AM to 06:00 PM</t>
  </si>
  <si>
    <t>Hours</t>
  </si>
  <si>
    <t>Working Shift</t>
  </si>
  <si>
    <t>73,308 / 10</t>
  </si>
  <si>
    <t>Nos.</t>
  </si>
  <si>
    <t>Total Required Trips</t>
  </si>
  <si>
    <t>Standard Indian Tipper</t>
  </si>
  <si>
    <t>m³/trip</t>
  </si>
  <si>
    <t>Truck Capacity</t>
  </si>
  <si>
    <t>65% of total</t>
  </si>
  <si>
    <t>m³</t>
  </si>
  <si>
    <t>Rock Volume (Basalt)</t>
  </si>
  <si>
    <t>35% of total</t>
  </si>
  <si>
    <t>Soil Volume</t>
  </si>
  <si>
    <t>Area*Depth = 6109sqm * 12</t>
  </si>
  <si>
    <t>Total Excavation Quantity</t>
  </si>
  <si>
    <t>Logic / Source</t>
  </si>
  <si>
    <t>Unit</t>
  </si>
  <si>
    <t>Value</t>
  </si>
  <si>
    <t>Parameter</t>
  </si>
  <si>
    <t>Actual - Baseline</t>
  </si>
  <si>
    <t>Net Variance</t>
  </si>
  <si>
    <t>Sum of all categories</t>
  </si>
  <si>
    <t>Total Carbon Net impact</t>
  </si>
  <si>
    <t>Days * 15kWh * 0.82 / 1000</t>
  </si>
  <si>
    <t>Site Grid Load</t>
  </si>
  <si>
    <t>Total Fuel * 2.68 / 1000</t>
  </si>
  <si>
    <t>Truck Fleet Carbon</t>
  </si>
  <si>
    <t>Excavator Carbon</t>
  </si>
  <si>
    <t>Category</t>
  </si>
  <si>
    <t>Carbon Estimations (in Tonnes)</t>
  </si>
  <si>
    <t>Standard + Traffic Penalty</t>
  </si>
  <si>
    <t>Total Fleet Diesel</t>
  </si>
  <si>
    <t>7,331 trips * 2.0 L (Crawl Waste)</t>
  </si>
  <si>
    <t>Traffic Penalty</t>
  </si>
  <si>
    <t>7,331 trips * (15km / 3km per L)</t>
  </si>
  <si>
    <t>Standard Transport Fuel</t>
  </si>
  <si>
    <t>Metric</t>
  </si>
  <si>
    <t>Fuel Consumption (Trucks in L)</t>
  </si>
  <si>
    <t>Work Fuel + Idle Waste</t>
  </si>
  <si>
    <t>Total Diesel Consumed</t>
  </si>
  <si>
    <t>Total Idle Hours * 4.5 L/hr</t>
  </si>
  <si>
    <t>Idle Fuel Waste</t>
  </si>
  <si>
    <t>Idle hrs * Duration (Days) * 2 Mc</t>
  </si>
  <si>
    <t>Total Idle Hours</t>
  </si>
  <si>
    <t>(Total Cycle - Loading Time) / 60</t>
  </si>
  <si>
    <t>Idle Duration / Day / Mc (hrs)</t>
  </si>
  <si>
    <t>Fixed Work Load (Soil*0.15L/m3 + Rock*0.4L/m3)</t>
  </si>
  <si>
    <t>Productive Work Fuel</t>
  </si>
  <si>
    <t>Fuel consumption (Excavators in  L)</t>
  </si>
  <si>
    <t>Column B (Component/Label)</t>
  </si>
  <si>
    <t>Column C (User Input)</t>
  </si>
  <si>
    <t>Column D (Dynamic Logic Formula)</t>
  </si>
  <si>
    <t>Column E (Thesis Academic Reference Formula)</t>
  </si>
  <si>
    <t>Select Scenario (1=Std, 2=Base, 3=Actual):</t>
  </si>
  <si>
    <t>Column L (Simulated Absolute Output)</t>
  </si>
  <si>
    <t>Column M (Relative Variance Change %)</t>
  </si>
  <si>
    <t>35 mins</t>
  </si>
  <si>
    <t>1. MASTER PROJECT EARTHWORKS PARAMETERS</t>
  </si>
  <si>
    <t>Area * Depth = 6109 sqm * 12m</t>
  </si>
  <si>
    <t>Soil Volume Component (35%)</t>
  </si>
  <si>
    <t>High-level excavation stratum layer</t>
  </si>
  <si>
    <t>Rock Volume Component - Basalt (65%)</t>
  </si>
  <si>
    <t>Tough stratum requiring slow tool-on-face work</t>
  </si>
  <si>
    <t>Dump Truck Tipper Capacity</t>
  </si>
  <si>
    <t>Standard Indian Tipper Volume capacity</t>
  </si>
  <si>
    <t>Total Required Disposal Trips</t>
  </si>
  <si>
    <t>Total Qty / 10m³ capacity bucket</t>
  </si>
  <si>
    <t>Standard Working Shift Duration</t>
  </si>
  <si>
    <t>09:00 AM to 06:00 PM (1 hr lunch loop)</t>
  </si>
  <si>
    <t>Shift Duration in Minutes</t>
  </si>
  <si>
    <t>9 Hours * 60 minutes</t>
  </si>
  <si>
    <t>Active Excavator Fleet Size</t>
  </si>
  <si>
    <t>20-ton class heavy earthmovers</t>
  </si>
  <si>
    <t>Round-Trip Haul Distance</t>
  </si>
  <si>
    <t>Site coordinates to designated dump yard</t>
  </si>
  <si>
    <t>Diesel Emission Intensity Factor</t>
  </si>
  <si>
    <t>IPCC National Greenhouse Gas Inventory</t>
  </si>
  <si>
    <t>Grid Electricity Emission Factor</t>
  </si>
  <si>
    <t>Central Electricity Authority (CEA India)</t>
  </si>
  <si>
    <t>Excavator Idle Fuel Burn Rate</t>
  </si>
  <si>
    <t>Engine on, zero-load wait cycles</t>
  </si>
  <si>
    <t>Truck Idle Fuel Burn Rate</t>
  </si>
  <si>
    <t>Site gate traffic crawl congestion lag</t>
  </si>
  <si>
    <t>2. PROJECT CALENDAR TIMELINE KPI</t>
  </si>
  <si>
    <t>Planned Execution Duration (Days)</t>
  </si>
  <si>
    <t>Required Daily Output Volume (m³)</t>
  </si>
  <si>
    <t>Required Disposal Trips per Day (Total)</t>
  </si>
  <si>
    <t>3. FLEET LOGISTICS CYCLE TIMES</t>
  </si>
  <si>
    <t>Trips per Day (Total Fleet)</t>
  </si>
  <si>
    <t>Trips/Day</t>
  </si>
  <si>
    <t>Handled Trips per Single Excavator</t>
  </si>
  <si>
    <t>Trips/Mc</t>
  </si>
  <si>
    <t>Total Shovel Cycle Turnaround Time</t>
  </si>
  <si>
    <t>Truck Positioning Lag - Inbound</t>
  </si>
  <si>
    <t>Active Excavator Loading Work Time</t>
  </si>
  <si>
    <t>Truck Positioning Lag - Outbound</t>
  </si>
  <si>
    <t>Machinery Idle Wait Duration per Day</t>
  </si>
  <si>
    <t>Hours/Mc</t>
  </si>
  <si>
    <t>4. ENERGY &amp; CARBON ACCOUNTING</t>
  </si>
  <si>
    <t>Fixed Productive Excavator Work Fuel</t>
  </si>
  <si>
    <t>Liters</t>
  </si>
  <si>
    <t>Excavator Idling Fuel Waste Volume</t>
  </si>
  <si>
    <t>Net Excavator Diesel Volume (Total)</t>
  </si>
  <si>
    <t>Standard Truck Transport Fuel Volume</t>
  </si>
  <si>
    <t>Traffic Congestion Crawl Fuel Waste</t>
  </si>
  <si>
    <t>Net Dump Truck Diesel Volume (Total)</t>
  </si>
  <si>
    <t>Site Office Grid Electricity Usage</t>
  </si>
  <si>
    <t>kWh</t>
  </si>
  <si>
    <t>Total Environmental Carbon Net Impact</t>
  </si>
  <si>
    <t>Tonnes CO2</t>
  </si>
  <si>
    <t>10 mins</t>
  </si>
  <si>
    <t>30 mins</t>
  </si>
  <si>
    <t>60 mins</t>
  </si>
  <si>
    <t>15 mins</t>
  </si>
  <si>
    <t>5 mins</t>
  </si>
  <si>
    <t>Optimize Haul Routing (VSM)? (Y/N)</t>
  </si>
  <si>
    <t>Match-Factor Balancing (JIT)? (Y/N)</t>
  </si>
  <si>
    <t>55 mins</t>
  </si>
  <si>
    <t>125 mins</t>
  </si>
  <si>
    <t>40 mins</t>
  </si>
  <si>
    <t>45 mins</t>
  </si>
  <si>
    <t>90 mins</t>
  </si>
  <si>
    <t>65 mins</t>
  </si>
  <si>
    <t>110 Days</t>
  </si>
  <si>
    <t>64.59 Tonnes</t>
  </si>
  <si>
    <t>?? SYSTEM SIMULATION EVALUATION ANALYSIS:_x000D_
_x000D_
• Operational Scope: Modeling a sequential cycle of 200 shore piles under an evaluated schedule constraint of 15 work hours per day._x000D_
_x000D_
?? Optimization Bottleneck: High concrete idling delay (90 mins) identified. Toggling JIT to 'Y' is strongly advised to resolve material delivery constraints.</t>
  </si>
  <si>
    <t>?? PILING OPERATIONAL SYSTEM SIMULATION EVALUATION:_x000D_
_x000D_
• Operational Scope Footprint: Simulating sequential cycle execution parameters across 200 units under a schedule constraint of 15 work hours/day._x000D_
_x000D_
?? Logistical Bottleneck: High concrete wait idling lag (90 mins) identified. Toggle Just-In-Time (JIT) to 'Y' to resolve material delivery constraints.</t>
  </si>
  <si>
    <t>Select Excavation Scenario (1=Std, 2=Base, 3=Actual)</t>
  </si>
  <si>
    <t>Fleet Logistics Cycle Component</t>
  </si>
  <si>
    <t>Baseline Time</t>
  </si>
  <si>
    <t>4. Excavator Idle Wait Waste</t>
  </si>
  <si>
    <t>Total Shovel Cycle Turnaround Time:</t>
  </si>
  <si>
    <t>Truck Positioning Lag (In-Bound)</t>
  </si>
  <si>
    <t>Truck Positioning Lag (Out-Bound)</t>
  </si>
  <si>
    <t>8 mins</t>
  </si>
  <si>
    <t>6 mins</t>
  </si>
  <si>
    <t>13.24 mins</t>
  </si>
  <si>
    <t>37.24 mins</t>
  </si>
  <si>
    <t>255 Days</t>
  </si>
  <si>
    <t>37597 L</t>
  </si>
  <si>
    <t>51317 L</t>
  </si>
  <si>
    <t>34425 kWh</t>
  </si>
  <si>
    <t>266.52 Tonnes</t>
  </si>
  <si>
    <t>?? EARTHWORKS FLEET LOGISTICS SIMULATION REPORT:_x000D_
_x000D_
• Project Workload Scope: Simulating earthmoving cycles for 7331 disposal trips utilizing a heavy fleet of 2 excavators._x000D_
?? FLEET MISMATCH COEFF: Excavators suffer 13.24 mins of idle queue time per load loop due to truck haul synchronization latency._x000D_
?? CONGESTION LATENCY: Severe haul route bottlenecks generate an extra 2.0 L/trip traffic penalty across the tipper fleet._x000D_
?? STRATEGY DIRECTION: System running at standard un-optimized baseline. Toggle VSM or JIT to 'Y' to simulate lean deployment paths.</t>
  </si>
  <si>
    <t>Industry Std.</t>
  </si>
  <si>
    <t>0 Days</t>
  </si>
  <si>
    <t>0 L</t>
  </si>
  <si>
    <t>0 kWh</t>
  </si>
  <si>
    <t>0 Tonnes</t>
  </si>
  <si>
    <t>Phase</t>
  </si>
  <si>
    <t>Activity Component</t>
  </si>
  <si>
    <t>1. Shore Piling</t>
  </si>
  <si>
    <t>2. Mass Excavation</t>
  </si>
  <si>
    <t>Scenario Case</t>
  </si>
  <si>
    <t>Duration/Time (Mins)</t>
  </si>
  <si>
    <t>Phase Total Days</t>
  </si>
  <si>
    <t>Phase Carbon Tonnage</t>
  </si>
  <si>
    <t>Industry Std</t>
  </si>
  <si>
    <t>Actual Case</t>
  </si>
  <si>
    <t>2. Boring (Soil)</t>
  </si>
  <si>
    <t>3. Boring (Rock)</t>
  </si>
  <si>
    <t>1. Inbound Positioning</t>
  </si>
  <si>
    <t>2. Shovel Loading Time</t>
  </si>
  <si>
    <t>3. Outbound Positioning</t>
  </si>
  <si>
    <t>4. Idle Wait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</si>
</sst>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0.0%"/>
    <numFmt numFmtId="166" formatCode="_ * #,##0_ ;_ * \-#,##0_ ;_ * &quot;-&quot;??_ ;_ @_ "/>
    <numFmt numFmtId="167" formatCode="_ * #,##0.0_ ;_ * \-#,##0.0_ ;_ * &quot;-&quot;??_ ;_ @_ 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"/>
    </font>
    <font>
      <sz val="11"/>
      <color theme="1"/>
      <name val="Times"/>
    </font>
    <font>
      <sz val="10"/>
      <color rgb="FF444746"/>
      <name val="Times New Roman"/>
      <family val="1"/>
    </font>
    <font>
      <i/>
      <sz val="11"/>
      <color rgb="FF1F1F1F"/>
      <name val="Times New Roman"/>
      <family val="1"/>
    </font>
    <font>
      <sz val="11"/>
      <color rgb="FF444746"/>
      <name val="Times New Roman"/>
      <family val="1"/>
    </font>
    <font>
      <b/>
      <sz val="11"/>
      <color rgb="FF444746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" fontId="4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2" fontId="9" fillId="0" borderId="0" xfId="0" applyNumberFormat="1" applyFont="1" applyAlignment="1">
      <alignment horizontal="center" vertical="center"/>
    </xf>
    <xf numFmtId="43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15" fontId="9" fillId="2" borderId="3" xfId="2" applyNumberFormat="1" applyFont="1" applyFill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5" fontId="9" fillId="3" borderId="3" xfId="2" applyNumberFormat="1" applyFont="1" applyFill="1" applyBorder="1" applyAlignment="1">
      <alignment horizontal="center" vertical="center"/>
    </xf>
    <xf numFmtId="166" fontId="9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3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/>
    <xf numFmtId="0" fontId="10" fillId="0" borderId="0" xfId="0" applyFont="1" applyAlignment="1">
      <alignment horizontal="center" vertical="center" wrapText="1"/>
    </xf>
    <xf numFmtId="167" fontId="4" fillId="0" borderId="0" xfId="0" applyNumberFormat="1" applyFont="1" applyAlignment="1">
      <alignment horizontal="right" vertical="center" wrapText="1"/>
    </xf>
    <xf numFmtId="167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6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43" fontId="4" fillId="0" borderId="0" xfId="0" applyNumberFormat="1" applyFont="1" applyAlignment="1">
      <alignment horizontal="right"/>
    </xf>
    <xf numFmtId="0" fontId="13" fillId="0" borderId="2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left" vertical="center" wrapText="1" indent="1" readingOrder="1"/>
    </xf>
    <xf numFmtId="0" fontId="13" fillId="0" borderId="2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righ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2" fillId="0" borderId="0" xfId="0" applyFont="1" applyAlignment="1">
      <alignment horizontal="right" vertical="center" wrapText="1" indent="1" readingOrder="1"/>
    </xf>
    <xf numFmtId="0" fontId="3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6" fillId="0" borderId="0" xfId="0" applyFont="1" applyAlignment="1">
      <alignment vertical="center" wrapText="1" readingOrder="1"/>
    </xf>
    <xf numFmtId="9" fontId="3" fillId="0" borderId="2" xfId="0" applyNumberFormat="1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15" fillId="0" borderId="1" xfId="0" applyFont="1" applyBorder="1" applyAlignment="1">
      <alignment horizontal="center" vertical="center" wrapText="1" readingOrder="1"/>
    </xf>
    <xf numFmtId="9" fontId="4" fillId="0" borderId="0" xfId="0" applyNumberFormat="1" applyFont="1" applyAlignment="1">
      <alignment horizontal="left" vertical="center"/>
    </xf>
    <xf numFmtId="9" fontId="4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 wrapText="1" readingOrder="1"/>
    </xf>
    <xf numFmtId="1" fontId="15" fillId="0" borderId="1" xfId="0" applyNumberFormat="1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wrapText="1" readingOrder="1"/>
    </xf>
    <xf numFmtId="43" fontId="15" fillId="0" borderId="1" xfId="0" applyNumberFormat="1" applyFont="1" applyBorder="1" applyAlignment="1">
      <alignment vertical="center" wrapText="1" readingOrder="1"/>
    </xf>
    <xf numFmtId="167" fontId="15" fillId="0" borderId="1" xfId="0" applyNumberFormat="1" applyFont="1" applyBorder="1" applyAlignment="1">
      <alignment horizontal="center" vertical="center" wrapText="1" readingOrder="1"/>
    </xf>
    <xf numFmtId="10" fontId="4" fillId="0" borderId="0" xfId="0" applyNumberFormat="1" applyFont="1" applyAlignment="1">
      <alignment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12" xfId="0" applyFont="1" applyBorder="1"/>
    <xf numFmtId="164" fontId="9" fillId="0" borderId="1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 readingOrder="1"/>
    </xf>
    <xf numFmtId="1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 indent="1" readingOrder="1"/>
    </xf>
    <xf numFmtId="165" fontId="9" fillId="0" borderId="2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right" vertical="center" wrapText="1" indent="1"/>
    </xf>
    <xf numFmtId="0" fontId="18" fillId="0" borderId="13" xfId="0" applyFont="1" applyBorder="1" applyAlignment="1">
      <alignment horizontal="right" vertical="center" wrapText="1" indent="1"/>
    </xf>
    <xf numFmtId="164" fontId="20" fillId="0" borderId="13" xfId="0" applyNumberFormat="1" applyFont="1" applyBorder="1" applyAlignment="1">
      <alignment horizontal="right" vertical="center" wrapText="1" inden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3/09/relationships/Python" Target="pyth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37353</xdr:colOff>
      <xdr:row>22</xdr:row>
      <xdr:rowOff>149412</xdr:rowOff>
    </xdr:from>
    <xdr:to>
      <xdr:col>2</xdr:col>
      <xdr:colOff>672354</xdr:colOff>
      <xdr:row>26</xdr:row>
      <xdr:rowOff>56030</xdr:rowOff>
    </xdr:to>
    <xdr:sp macro="[0]!Sheet2.RunShorePilingSimulation" textlink="">
      <xdr:nvSpPr>
        <xdr:cNvPr id="2" name="Rectangle 1">
          <a:extLst>
            <a:ext uri="{FF2B5EF4-FFF2-40B4-BE49-F238E27FC236}">
              <a16:creationId xmlns:a16="http://schemas.microsoft.com/office/drawing/2014/main" id="{9D86D985-2F3B-A45C-200C-3BB7449BB563}"/>
            </a:ext>
          </a:extLst>
        </xdr:cNvPr>
        <xdr:cNvSpPr/>
      </xdr:nvSpPr>
      <xdr:spPr>
        <a:xfrm>
          <a:off x="653677" y="5042647"/>
          <a:ext cx="4519706" cy="653677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</a:t>
          </a:r>
          <a:r>
            <a:rPr lang="en-US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SIMULATION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146539</xdr:colOff>
      <xdr:row>21</xdr:row>
      <xdr:rowOff>16282</xdr:rowOff>
    </xdr:from>
    <xdr:to>
      <xdr:col>1</xdr:col>
      <xdr:colOff>1937564</xdr:colOff>
      <xdr:row>22</xdr:row>
      <xdr:rowOff>130256</xdr:rowOff>
    </xdr:to>
    <xdr:sp macro="[0]!Sheet9.RunStandaloneExcavationSimulation" textlink="">
      <xdr:nvSpPr>
        <xdr:cNvPr id="2" name="Rectangle 1">
          <a:extLst>
            <a:ext uri="{FF2B5EF4-FFF2-40B4-BE49-F238E27FC236}">
              <a16:creationId xmlns:a16="http://schemas.microsoft.com/office/drawing/2014/main" id="{424132D0-CC63-1B43-4F4D-1ACC631725DE}"/>
            </a:ext>
          </a:extLst>
        </xdr:cNvPr>
        <xdr:cNvSpPr/>
      </xdr:nvSpPr>
      <xdr:spPr>
        <a:xfrm>
          <a:off x="211667" y="5226538"/>
          <a:ext cx="1791025" cy="2930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RUN SIMULATION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27D4-09F9-4642-9388-7E3B0868E0FF}">
  <sheetPr codeName="Sheet3"/>
  <dimension ref="A4:M21"/>
  <sheetViews>
    <sheetView topLeftCell="B1" zoomScale="80" workbookViewId="0">
      <selection activeCell="F11" sqref="F11"/>
    </sheetView>
  </sheetViews>
  <sheetFormatPr defaultRowHeight="14"/>
  <cols>
    <col min="1" max="1" width="37.36328125" style="11" hidden="1" customWidth="1"/>
    <col min="2" max="2" width="4.1796875" style="11" customWidth="1"/>
    <col min="3" max="3" width="26.453125" style="11" customWidth="1"/>
    <col min="4" max="7" width="18.36328125" style="8" customWidth="1"/>
    <col min="8" max="8" width="30.08984375" style="8" customWidth="1"/>
    <col min="9" max="16384" width="8.7265625" style="11"/>
  </cols>
  <sheetData>
    <row r="4" spans="1:13">
      <c r="C4" s="7" t="s">
        <v>62</v>
      </c>
      <c r="D4" s="22" t="s">
        <v>61</v>
      </c>
      <c r="E4" s="22" t="s">
        <v>60</v>
      </c>
      <c r="F4" s="22" t="s">
        <v>59</v>
      </c>
      <c r="G4" s="23">
        <f>'Exc03'!C5/200</f>
        <v>366.54</v>
      </c>
      <c r="H4" s="22" t="s">
        <v>58</v>
      </c>
      <c r="L4" s="11" t="s">
        <v>240</v>
      </c>
      <c r="M4" s="77">
        <v>0</v>
      </c>
    </row>
    <row r="5" spans="1:13" ht="14.5" thickBot="1">
      <c r="C5" s="5" t="s">
        <v>57</v>
      </c>
      <c r="D5" s="17">
        <f>'Exc02'!C8</f>
        <v>162.90666666666667</v>
      </c>
      <c r="E5" s="2">
        <v>98</v>
      </c>
      <c r="F5" s="17">
        <v>29</v>
      </c>
      <c r="G5" s="8">
        <v>10</v>
      </c>
      <c r="H5" s="5" t="s">
        <v>173</v>
      </c>
      <c r="I5" s="11" t="s">
        <v>173</v>
      </c>
      <c r="L5" s="11" t="s">
        <v>241</v>
      </c>
      <c r="M5" s="77">
        <v>0</v>
      </c>
    </row>
    <row r="6" spans="1:13" ht="14.5" thickBot="1">
      <c r="A6" s="21" t="s">
        <v>56</v>
      </c>
      <c r="C6" s="5" t="s">
        <v>55</v>
      </c>
      <c r="D6" s="17">
        <f>D5/2</f>
        <v>81.453333333333333</v>
      </c>
      <c r="E6" s="2">
        <v>49</v>
      </c>
      <c r="F6" s="2">
        <v>14.5</v>
      </c>
      <c r="G6" s="2">
        <f>G5/2</f>
        <v>5</v>
      </c>
      <c r="H6" s="5" t="s">
        <v>234</v>
      </c>
      <c r="I6" s="11" t="s">
        <v>234</v>
      </c>
    </row>
    <row r="7" spans="1:13" ht="28">
      <c r="A7" s="19" t="s">
        <v>54</v>
      </c>
      <c r="C7" s="5" t="s">
        <v>53</v>
      </c>
      <c r="D7" s="2">
        <f>540/D6</f>
        <v>6.6295629399247016</v>
      </c>
      <c r="E7" s="17">
        <f>540/E6</f>
        <v>11.020408163265307</v>
      </c>
      <c r="F7" s="17">
        <f>540/F6</f>
        <v>37.241379310344826</v>
      </c>
      <c r="G7" s="17">
        <f>540/G6</f>
        <v>108</v>
      </c>
      <c r="H7" s="5" t="s">
        <v>235</v>
      </c>
      <c r="I7" s="11" t="s">
        <v>235</v>
      </c>
    </row>
    <row r="8" spans="1:13" ht="56">
      <c r="A8" s="19" t="s">
        <v>49</v>
      </c>
      <c r="C8" s="5" t="s">
        <v>52</v>
      </c>
      <c r="D8" s="2">
        <v>1</v>
      </c>
      <c r="E8" s="2">
        <v>2.5</v>
      </c>
      <c r="F8" s="2">
        <v>8</v>
      </c>
      <c r="G8" s="20">
        <f>G7*22%</f>
        <v>23.76</v>
      </c>
      <c r="H8" s="5" t="s">
        <v>236</v>
      </c>
      <c r="I8" s="11" t="s">
        <v>236</v>
      </c>
    </row>
    <row r="9" spans="1:13" ht="56">
      <c r="A9" s="19" t="s">
        <v>51</v>
      </c>
      <c r="C9" s="5" t="s">
        <v>50</v>
      </c>
      <c r="D9" s="2">
        <v>5</v>
      </c>
      <c r="E9" s="2">
        <v>6</v>
      </c>
      <c r="F9" s="2">
        <v>6</v>
      </c>
      <c r="G9" s="2">
        <f>F9</f>
        <v>6</v>
      </c>
      <c r="H9" s="5" t="s">
        <v>237</v>
      </c>
      <c r="I9" s="11" t="s">
        <v>237</v>
      </c>
    </row>
    <row r="10" spans="1:13" ht="56">
      <c r="A10" s="19" t="s">
        <v>49</v>
      </c>
      <c r="C10" s="5" t="s">
        <v>48</v>
      </c>
      <c r="D10" s="2">
        <v>1</v>
      </c>
      <c r="E10" s="2">
        <v>2.5</v>
      </c>
      <c r="F10" s="2">
        <v>10</v>
      </c>
      <c r="G10" s="17">
        <f>G7*27%</f>
        <v>29.160000000000004</v>
      </c>
      <c r="H10" s="5" t="s">
        <v>238</v>
      </c>
      <c r="I10" s="11" t="s">
        <v>238</v>
      </c>
    </row>
    <row r="11" spans="1:13" ht="28">
      <c r="A11" s="19" t="s">
        <v>47</v>
      </c>
      <c r="C11" s="5" t="s">
        <v>46</v>
      </c>
      <c r="D11" s="2">
        <v>0</v>
      </c>
      <c r="E11" s="18">
        <f>E7-(E8+E9+E10)</f>
        <v>2.0408163265306811E-2</v>
      </c>
      <c r="F11" s="18">
        <f>F7-(F8+F9+F10)</f>
        <v>13.241379310344826</v>
      </c>
      <c r="G11" s="17">
        <f>G7-G8-G9-G10</f>
        <v>49.079999999999991</v>
      </c>
      <c r="H11" s="5" t="s">
        <v>239</v>
      </c>
      <c r="I11" s="11" t="s">
        <v>239</v>
      </c>
    </row>
    <row r="12" spans="1:13">
      <c r="H12" s="8" t="s">
        <v>236</v>
      </c>
      <c r="I12" s="11" t="s">
        <v>236</v>
      </c>
    </row>
    <row r="13" spans="1:13">
      <c r="D13" s="16"/>
      <c r="E13" s="16"/>
      <c r="F13" s="16"/>
    </row>
    <row r="14" spans="1:13">
      <c r="D14" s="15"/>
      <c r="E14" s="15"/>
      <c r="F14" s="15"/>
    </row>
    <row r="15" spans="1:13" ht="409.5">
      <c r="B15" s="5" t="s">
        <v>242</v>
      </c>
      <c r="F15" s="14"/>
    </row>
    <row r="16" spans="1:13">
      <c r="F16" s="13"/>
    </row>
    <row r="21" spans="6:6">
      <c r="F2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346F-7873-46B1-85A0-C69C6E357145}">
  <sheetPr codeName="Sheet4"/>
  <dimension ref="B2:S21"/>
  <sheetViews>
    <sheetView zoomScale="85" zoomScaleNormal="85" workbookViewId="0">
      <selection activeCell="D4" sqref="D4"/>
    </sheetView>
  </sheetViews>
  <sheetFormatPr defaultRowHeight="15.5"/>
  <cols>
    <col min="1" max="1" width="4.81640625" style="24" customWidth="1"/>
    <col min="2" max="2" width="22.81640625" style="24" bestFit="1" customWidth="1"/>
    <col min="3" max="3" width="12.36328125" style="25" customWidth="1"/>
    <col min="4" max="6" width="11.90625" style="25" customWidth="1"/>
    <col min="7" max="7" width="10.6328125" style="25" bestFit="1" customWidth="1"/>
    <col min="8" max="8" width="10.6328125" style="25" customWidth="1"/>
    <col min="9" max="10" width="11.08984375" style="25" customWidth="1"/>
    <col min="11" max="11" width="10.08984375" style="25" bestFit="1" customWidth="1"/>
    <col min="12" max="12" width="12.453125" style="25" bestFit="1" customWidth="1"/>
    <col min="13" max="13" width="10.1796875" style="25" bestFit="1" customWidth="1"/>
    <col min="14" max="14" width="10.26953125" style="25" bestFit="1" customWidth="1"/>
    <col min="15" max="19" width="8.7265625" style="25"/>
    <col min="20" max="16384" width="8.7265625" style="24"/>
  </cols>
  <sheetData>
    <row r="2" spans="2:17" ht="46.5" customHeight="1">
      <c r="B2" s="100" t="s">
        <v>95</v>
      </c>
      <c r="C2" s="98" t="s">
        <v>94</v>
      </c>
      <c r="D2" s="98" t="s">
        <v>93</v>
      </c>
      <c r="E2" s="98" t="s">
        <v>92</v>
      </c>
      <c r="F2" s="98"/>
      <c r="G2" s="98"/>
      <c r="H2" s="99" t="s">
        <v>91</v>
      </c>
      <c r="I2" s="99" t="s">
        <v>90</v>
      </c>
      <c r="J2" s="99" t="s">
        <v>89</v>
      </c>
      <c r="K2" s="99" t="s">
        <v>88</v>
      </c>
      <c r="L2" s="99" t="s">
        <v>83</v>
      </c>
      <c r="M2" s="97" t="s">
        <v>87</v>
      </c>
      <c r="N2" s="97" t="s">
        <v>86</v>
      </c>
      <c r="O2" s="97" t="s">
        <v>85</v>
      </c>
      <c r="P2" s="97" t="s">
        <v>84</v>
      </c>
      <c r="Q2" s="97" t="s">
        <v>83</v>
      </c>
    </row>
    <row r="3" spans="2:17">
      <c r="B3" s="100"/>
      <c r="C3" s="98"/>
      <c r="D3" s="98"/>
      <c r="E3" s="25" t="s">
        <v>82</v>
      </c>
      <c r="F3" s="25" t="s">
        <v>81</v>
      </c>
      <c r="G3" s="25" t="s">
        <v>80</v>
      </c>
      <c r="H3" s="99"/>
      <c r="I3" s="99"/>
      <c r="J3" s="99"/>
      <c r="K3" s="99"/>
      <c r="L3" s="99"/>
      <c r="M3" s="97"/>
      <c r="N3" s="97"/>
      <c r="O3" s="97"/>
      <c r="P3" s="97"/>
      <c r="Q3" s="97"/>
    </row>
    <row r="4" spans="2:17">
      <c r="B4" s="24" t="s">
        <v>79</v>
      </c>
      <c r="C4" s="25">
        <f>3294+2815</f>
        <v>6109</v>
      </c>
      <c r="D4" s="25">
        <v>12</v>
      </c>
      <c r="E4" s="34">
        <f>G4*35%</f>
        <v>25657.8</v>
      </c>
      <c r="F4" s="34">
        <f>G4-E4</f>
        <v>47650.2</v>
      </c>
      <c r="G4" s="42">
        <f>D4*C4</f>
        <v>73308</v>
      </c>
      <c r="H4" s="41">
        <v>44531</v>
      </c>
      <c r="I4" s="41">
        <v>44607</v>
      </c>
      <c r="J4" s="40">
        <v>75</v>
      </c>
      <c r="K4" s="39">
        <f>G4/J4</f>
        <v>977.44</v>
      </c>
      <c r="L4" s="38">
        <f>K4/10</f>
        <v>97.744</v>
      </c>
      <c r="M4" s="37">
        <v>44531</v>
      </c>
      <c r="N4" s="37">
        <v>44786</v>
      </c>
      <c r="O4" s="36">
        <f>N4-M4</f>
        <v>255</v>
      </c>
      <c r="P4" s="35">
        <f>G4/O4</f>
        <v>287.48235294117649</v>
      </c>
      <c r="Q4" s="35">
        <f>P4/10</f>
        <v>28.748235294117649</v>
      </c>
    </row>
    <row r="5" spans="2:17">
      <c r="E5" s="33">
        <v>0.15</v>
      </c>
      <c r="F5" s="33">
        <v>0.4</v>
      </c>
    </row>
    <row r="7" spans="2:17" ht="31">
      <c r="C7" s="29" t="s">
        <v>61</v>
      </c>
      <c r="D7" s="29" t="s">
        <v>78</v>
      </c>
      <c r="E7" s="29" t="s">
        <v>77</v>
      </c>
      <c r="J7" s="33">
        <f>E4*0.15+F4*0.4</f>
        <v>22908.749999999996</v>
      </c>
    </row>
    <row r="8" spans="2:17">
      <c r="B8" s="24" t="s">
        <v>76</v>
      </c>
      <c r="C8" s="34">
        <f>G4/(45*10)</f>
        <v>162.90666666666667</v>
      </c>
      <c r="D8" s="34">
        <f>L4</f>
        <v>97.744</v>
      </c>
      <c r="E8" s="34">
        <f>Q4</f>
        <v>28.748235294117649</v>
      </c>
      <c r="G8" s="33">
        <f>C8*10</f>
        <v>1629.0666666666666</v>
      </c>
      <c r="H8" s="25">
        <f>G4/G8</f>
        <v>45</v>
      </c>
    </row>
    <row r="9" spans="2:17" ht="31">
      <c r="B9" s="31" t="s">
        <v>75</v>
      </c>
      <c r="C9" s="25">
        <f>D9</f>
        <v>9</v>
      </c>
      <c r="D9" s="25">
        <f>9</f>
        <v>9</v>
      </c>
      <c r="E9" s="25">
        <f>9</f>
        <v>9</v>
      </c>
      <c r="K9" s="27"/>
    </row>
    <row r="10" spans="2:17">
      <c r="B10" s="24" t="s">
        <v>74</v>
      </c>
      <c r="C10" s="27">
        <f>C11*C12</f>
        <v>17.142857142857142</v>
      </c>
      <c r="D10" s="25">
        <f>ROUNDUP(D8/D9,0)</f>
        <v>11</v>
      </c>
      <c r="E10" s="25">
        <f>ROUNDUP(E8/E9,0)</f>
        <v>4</v>
      </c>
    </row>
    <row r="11" spans="2:17">
      <c r="B11" s="24" t="s">
        <v>73</v>
      </c>
      <c r="C11" s="27">
        <f>D11</f>
        <v>2</v>
      </c>
      <c r="D11" s="25">
        <v>2</v>
      </c>
      <c r="E11" s="25">
        <v>2</v>
      </c>
    </row>
    <row r="12" spans="2:17" ht="31">
      <c r="B12" s="31" t="s">
        <v>72</v>
      </c>
      <c r="C12" s="32">
        <f>60/7</f>
        <v>8.5714285714285712</v>
      </c>
      <c r="D12" s="25">
        <f>D10/D11</f>
        <v>5.5</v>
      </c>
      <c r="E12" s="25">
        <f>E10/E11</f>
        <v>2</v>
      </c>
    </row>
    <row r="13" spans="2:17" ht="31">
      <c r="D13" s="29" t="s">
        <v>71</v>
      </c>
      <c r="E13" s="29" t="s">
        <v>70</v>
      </c>
      <c r="F13" s="29" t="s">
        <v>69</v>
      </c>
      <c r="G13" s="25" t="s">
        <v>68</v>
      </c>
      <c r="H13" s="30"/>
    </row>
    <row r="14" spans="2:17" ht="62">
      <c r="B14" s="31" t="s">
        <v>67</v>
      </c>
      <c r="C14" s="25">
        <f>ROUNDUP(60/D12,0)</f>
        <v>11</v>
      </c>
      <c r="D14" s="25">
        <v>2.5</v>
      </c>
      <c r="E14" s="25">
        <v>6</v>
      </c>
      <c r="F14" s="25">
        <v>2.5</v>
      </c>
      <c r="G14" s="25" t="s">
        <v>65</v>
      </c>
      <c r="H14" s="30" t="s">
        <v>66</v>
      </c>
      <c r="J14" s="28">
        <v>540</v>
      </c>
      <c r="K14" s="28">
        <v>14.5</v>
      </c>
      <c r="L14" s="28">
        <f>J14/K14</f>
        <v>37.241379310344826</v>
      </c>
      <c r="M14" s="25">
        <v>13.2</v>
      </c>
    </row>
    <row r="15" spans="2:17" ht="62">
      <c r="C15" s="27">
        <f>SUM(D15:G15)</f>
        <v>7</v>
      </c>
      <c r="D15" s="25">
        <v>1</v>
      </c>
      <c r="E15" s="25">
        <v>5</v>
      </c>
      <c r="F15" s="25">
        <v>1</v>
      </c>
      <c r="G15" s="25" t="s">
        <v>65</v>
      </c>
      <c r="H15" s="29" t="s">
        <v>64</v>
      </c>
      <c r="J15" s="28"/>
      <c r="K15" s="28">
        <f>K14*2</f>
        <v>29</v>
      </c>
      <c r="L15" s="28">
        <f>L14*2</f>
        <v>74.482758620689651</v>
      </c>
      <c r="M15" s="25">
        <f>M14*2</f>
        <v>26.4</v>
      </c>
      <c r="N15" s="25">
        <f>M15*K15</f>
        <v>765.59999999999991</v>
      </c>
      <c r="O15" s="25">
        <f>N15/60</f>
        <v>12.759999999999998</v>
      </c>
      <c r="P15" s="25">
        <f>O15/2</f>
        <v>6.379999999999999</v>
      </c>
    </row>
    <row r="16" spans="2:17">
      <c r="C16" s="27">
        <f>60/E12</f>
        <v>30</v>
      </c>
      <c r="H16" s="25" t="s">
        <v>63</v>
      </c>
    </row>
    <row r="20" spans="8:10">
      <c r="H20" s="26"/>
      <c r="I20" s="100"/>
      <c r="J20" s="100"/>
    </row>
    <row r="21" spans="8:10">
      <c r="H21" s="26"/>
      <c r="I21" s="100"/>
      <c r="J21" s="100"/>
    </row>
  </sheetData>
  <mergeCells count="16">
    <mergeCell ref="I21:J21"/>
    <mergeCell ref="C2:C3"/>
    <mergeCell ref="D2:D3"/>
    <mergeCell ref="B2:B3"/>
    <mergeCell ref="J2:J3"/>
    <mergeCell ref="I20:J20"/>
    <mergeCell ref="H2:H3"/>
    <mergeCell ref="I2:I3"/>
    <mergeCell ref="M2:M3"/>
    <mergeCell ref="N2:N3"/>
    <mergeCell ref="E2:G2"/>
    <mergeCell ref="Q2:Q3"/>
    <mergeCell ref="K2:K3"/>
    <mergeCell ref="L2:L3"/>
    <mergeCell ref="O2:O3"/>
    <mergeCell ref="P2:P3"/>
  </mergeCells>
  <pageMargins left="0.7" right="0.7" top="0.75" bottom="0.75" header="0.3" footer="0.3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2E63-B413-4615-ADA6-AD1047D4AA97}">
  <sheetPr codeName="Sheet5"/>
  <dimension ref="B4:H17"/>
  <sheetViews>
    <sheetView workbookViewId="0">
      <selection activeCell="B4" sqref="B4:E17"/>
    </sheetView>
  </sheetViews>
  <sheetFormatPr defaultRowHeight="15.5"/>
  <cols>
    <col min="1" max="1" width="8.7265625" style="24"/>
    <col min="2" max="2" width="26.6328125" style="24" customWidth="1"/>
    <col min="3" max="3" width="8.7265625" style="25"/>
    <col min="4" max="4" width="15.453125" style="25" customWidth="1"/>
    <col min="5" max="5" width="30.6328125" style="25" customWidth="1"/>
    <col min="6" max="16384" width="8.7265625" style="24"/>
  </cols>
  <sheetData>
    <row r="4" spans="2:8">
      <c r="B4" s="47" t="s">
        <v>135</v>
      </c>
      <c r="C4" s="47" t="s">
        <v>134</v>
      </c>
      <c r="D4" s="47" t="s">
        <v>133</v>
      </c>
      <c r="E4" s="47" t="s">
        <v>132</v>
      </c>
    </row>
    <row r="5" spans="2:8">
      <c r="B5" s="44" t="s">
        <v>131</v>
      </c>
      <c r="C5" s="45">
        <v>73308</v>
      </c>
      <c r="D5" s="29" t="s">
        <v>126</v>
      </c>
      <c r="E5" s="43" t="s">
        <v>130</v>
      </c>
      <c r="G5" s="24">
        <f>29*10</f>
        <v>290</v>
      </c>
      <c r="H5" s="46">
        <f>C5/G5</f>
        <v>252.78620689655173</v>
      </c>
    </row>
    <row r="6" spans="2:8">
      <c r="B6" s="44" t="s">
        <v>129</v>
      </c>
      <c r="C6" s="45">
        <v>25658</v>
      </c>
      <c r="D6" s="29" t="s">
        <v>126</v>
      </c>
      <c r="E6" s="43" t="s">
        <v>128</v>
      </c>
      <c r="G6" s="24">
        <f>30*10</f>
        <v>300</v>
      </c>
      <c r="H6" s="46">
        <f>C5/G6</f>
        <v>244.36</v>
      </c>
    </row>
    <row r="7" spans="2:8">
      <c r="B7" s="44" t="s">
        <v>127</v>
      </c>
      <c r="C7" s="45">
        <v>47650</v>
      </c>
      <c r="D7" s="29" t="s">
        <v>126</v>
      </c>
      <c r="E7" s="43" t="s">
        <v>125</v>
      </c>
    </row>
    <row r="8" spans="2:8">
      <c r="B8" s="44" t="s">
        <v>124</v>
      </c>
      <c r="C8" s="29">
        <v>10</v>
      </c>
      <c r="D8" s="29" t="s">
        <v>123</v>
      </c>
      <c r="E8" s="43" t="s">
        <v>122</v>
      </c>
    </row>
    <row r="9" spans="2:8">
      <c r="B9" s="44" t="s">
        <v>121</v>
      </c>
      <c r="C9" s="45">
        <v>7331</v>
      </c>
      <c r="D9" s="29" t="s">
        <v>120</v>
      </c>
      <c r="E9" s="43" t="s">
        <v>119</v>
      </c>
    </row>
    <row r="10" spans="2:8">
      <c r="B10" s="44" t="s">
        <v>118</v>
      </c>
      <c r="C10" s="29">
        <v>9</v>
      </c>
      <c r="D10" s="29" t="s">
        <v>117</v>
      </c>
      <c r="E10" s="43" t="s">
        <v>116</v>
      </c>
    </row>
    <row r="11" spans="2:8">
      <c r="B11" s="44" t="s">
        <v>115</v>
      </c>
      <c r="C11" s="29">
        <v>540</v>
      </c>
      <c r="D11" s="29" t="s">
        <v>114</v>
      </c>
      <c r="E11" s="43" t="s">
        <v>113</v>
      </c>
    </row>
    <row r="12" spans="2:8">
      <c r="B12" s="44" t="s">
        <v>112</v>
      </c>
      <c r="C12" s="29">
        <v>2</v>
      </c>
      <c r="D12" s="29" t="s">
        <v>111</v>
      </c>
      <c r="E12" s="43" t="s">
        <v>110</v>
      </c>
    </row>
    <row r="13" spans="2:8">
      <c r="B13" s="44" t="s">
        <v>109</v>
      </c>
      <c r="C13" s="29">
        <v>15</v>
      </c>
      <c r="D13" s="29" t="s">
        <v>108</v>
      </c>
      <c r="E13" s="43" t="s">
        <v>107</v>
      </c>
    </row>
    <row r="14" spans="2:8">
      <c r="B14" s="44" t="s">
        <v>106</v>
      </c>
      <c r="C14" s="29">
        <v>2.68</v>
      </c>
      <c r="D14" s="29" t="s">
        <v>105</v>
      </c>
      <c r="E14" s="43" t="s">
        <v>104</v>
      </c>
    </row>
    <row r="15" spans="2:8">
      <c r="B15" s="44" t="s">
        <v>103</v>
      </c>
      <c r="C15" s="29">
        <v>0.82</v>
      </c>
      <c r="D15" s="29" t="s">
        <v>102</v>
      </c>
      <c r="E15" s="43" t="s">
        <v>101</v>
      </c>
    </row>
    <row r="16" spans="2:8">
      <c r="B16" s="44" t="s">
        <v>100</v>
      </c>
      <c r="C16" s="29">
        <v>4.5</v>
      </c>
      <c r="D16" s="29" t="s">
        <v>97</v>
      </c>
      <c r="E16" s="43" t="s">
        <v>99</v>
      </c>
    </row>
    <row r="17" spans="2:5">
      <c r="B17" s="44" t="s">
        <v>98</v>
      </c>
      <c r="C17" s="29">
        <v>2.5</v>
      </c>
      <c r="D17" s="29" t="s">
        <v>97</v>
      </c>
      <c r="E17" s="4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C29D-5F9E-43AF-90CA-1E6025AC6733}">
  <sheetPr codeName="Sheet6"/>
  <dimension ref="B2:F22"/>
  <sheetViews>
    <sheetView tabSelected="1" topLeftCell="A8" zoomScale="92" workbookViewId="0">
      <selection activeCell="B16" sqref="B16:F22"/>
    </sheetView>
  </sheetViews>
  <sheetFormatPr defaultRowHeight="14"/>
  <cols>
    <col min="1" max="1" width="8.7265625" style="1"/>
    <col min="2" max="2" width="29.08984375" style="1" customWidth="1"/>
    <col min="3" max="4" width="12" style="1" customWidth="1"/>
    <col min="5" max="5" width="11.26953125" style="1" customWidth="1"/>
    <col min="6" max="6" width="29.1796875" style="1" customWidth="1"/>
    <col min="7" max="16384" width="8.7265625" style="1"/>
  </cols>
  <sheetData>
    <row r="2" spans="2:6">
      <c r="B2" s="101" t="s">
        <v>165</v>
      </c>
      <c r="C2" s="101"/>
      <c r="D2" s="101"/>
      <c r="E2" s="101"/>
      <c r="F2" s="101"/>
    </row>
    <row r="3" spans="2:6" ht="28">
      <c r="B3" s="22" t="s">
        <v>153</v>
      </c>
      <c r="C3" s="22" t="s">
        <v>61</v>
      </c>
      <c r="D3" s="22" t="s">
        <v>66</v>
      </c>
      <c r="E3" s="22" t="s">
        <v>63</v>
      </c>
      <c r="F3" s="22" t="s">
        <v>58</v>
      </c>
    </row>
    <row r="4" spans="2:6" ht="28">
      <c r="B4" s="3" t="s">
        <v>164</v>
      </c>
      <c r="C4" s="56">
        <f>D4</f>
        <v>22908.749999999996</v>
      </c>
      <c r="D4" s="34">
        <f>('Exc02'!E4*'Exc02'!E5)+('Exc02'!F4*'Exc02'!F5)</f>
        <v>22908.749999999996</v>
      </c>
      <c r="E4" s="58">
        <f>D4</f>
        <v>22908.749999999996</v>
      </c>
      <c r="F4" s="3" t="s">
        <v>163</v>
      </c>
    </row>
    <row r="5" spans="2:6">
      <c r="B5" s="3" t="s">
        <v>162</v>
      </c>
      <c r="C5" s="2">
        <f>'Exc01'!D11</f>
        <v>0</v>
      </c>
      <c r="D5" s="18">
        <f>('Exc01'!E11*'Exc01'!E5)/60</f>
        <v>3.3333333333334457E-2</v>
      </c>
      <c r="E5" s="18">
        <f>('Exc01'!F11*'Exc01'!F5)/60</f>
        <v>6.3999999999999995</v>
      </c>
      <c r="F5" s="3" t="s">
        <v>161</v>
      </c>
    </row>
    <row r="6" spans="2:6">
      <c r="B6" s="3" t="s">
        <v>160</v>
      </c>
      <c r="C6" s="2">
        <f>'Exc01'!D12</f>
        <v>0</v>
      </c>
      <c r="D6" s="57">
        <f>D5*'Exc02'!J4*2</f>
        <v>5.0000000000001688</v>
      </c>
      <c r="E6" s="17">
        <f>'Exc02'!O4*'Exc04'!E5*2</f>
        <v>3263.9999999999995</v>
      </c>
      <c r="F6" s="3" t="s">
        <v>159</v>
      </c>
    </row>
    <row r="7" spans="2:6">
      <c r="B7" s="3" t="s">
        <v>158</v>
      </c>
      <c r="C7" s="2">
        <f>C6*4.5</f>
        <v>0</v>
      </c>
      <c r="D7" s="2">
        <f>D6*4.5</f>
        <v>22.50000000000076</v>
      </c>
      <c r="E7" s="2">
        <f>E6*4.5</f>
        <v>14687.999999999998</v>
      </c>
      <c r="F7" s="3" t="s">
        <v>157</v>
      </c>
    </row>
    <row r="8" spans="2:6">
      <c r="B8" s="3" t="s">
        <v>156</v>
      </c>
      <c r="C8" s="56">
        <f>C7+C4</f>
        <v>22908.749999999996</v>
      </c>
      <c r="D8" s="56">
        <f>D7+D4</f>
        <v>22931.249999999996</v>
      </c>
      <c r="E8" s="56">
        <f>E7+E4</f>
        <v>37596.749999999993</v>
      </c>
      <c r="F8" s="3" t="s">
        <v>155</v>
      </c>
    </row>
    <row r="9" spans="2:6">
      <c r="D9" s="4"/>
      <c r="E9" s="4"/>
    </row>
    <row r="10" spans="2:6">
      <c r="B10" s="101" t="s">
        <v>154</v>
      </c>
      <c r="C10" s="101"/>
      <c r="D10" s="101"/>
      <c r="E10" s="101"/>
      <c r="F10" s="101"/>
    </row>
    <row r="11" spans="2:6" ht="28">
      <c r="B11" s="51" t="s">
        <v>153</v>
      </c>
      <c r="C11" s="51" t="s">
        <v>61</v>
      </c>
      <c r="D11" s="51" t="s">
        <v>66</v>
      </c>
      <c r="E11" s="51" t="s">
        <v>63</v>
      </c>
      <c r="F11" s="51" t="s">
        <v>58</v>
      </c>
    </row>
    <row r="12" spans="2:6">
      <c r="B12" s="52" t="s">
        <v>152</v>
      </c>
      <c r="C12" s="53">
        <f>7331*15/3</f>
        <v>36655</v>
      </c>
      <c r="D12" s="53">
        <f>7331*15/3</f>
        <v>36655</v>
      </c>
      <c r="E12" s="53">
        <f>7331*15/3</f>
        <v>36655</v>
      </c>
      <c r="F12" s="52" t="s">
        <v>151</v>
      </c>
    </row>
    <row r="13" spans="2:6">
      <c r="B13" s="52" t="s">
        <v>150</v>
      </c>
      <c r="C13" s="55">
        <v>0</v>
      </c>
      <c r="D13" s="54">
        <v>0</v>
      </c>
      <c r="E13" s="54">
        <f>7331*2</f>
        <v>14662</v>
      </c>
      <c r="F13" s="52" t="s">
        <v>149</v>
      </c>
    </row>
    <row r="14" spans="2:6">
      <c r="B14" s="52" t="s">
        <v>148</v>
      </c>
      <c r="C14" s="53">
        <f>C12+C13</f>
        <v>36655</v>
      </c>
      <c r="D14" s="53">
        <f>D12+D13</f>
        <v>36655</v>
      </c>
      <c r="E14" s="53">
        <f>E12+E13</f>
        <v>51317</v>
      </c>
      <c r="F14" s="52" t="s">
        <v>147</v>
      </c>
    </row>
    <row r="15" spans="2:6">
      <c r="D15" s="4"/>
      <c r="E15" s="4"/>
    </row>
    <row r="16" spans="2:6">
      <c r="B16" s="101" t="s">
        <v>146</v>
      </c>
      <c r="C16" s="101"/>
      <c r="D16" s="101"/>
      <c r="E16" s="101"/>
      <c r="F16" s="101"/>
    </row>
    <row r="17" spans="2:6" ht="28">
      <c r="B17" s="22" t="s">
        <v>145</v>
      </c>
      <c r="C17" s="51" t="s">
        <v>61</v>
      </c>
      <c r="D17" s="22" t="s">
        <v>66</v>
      </c>
      <c r="E17" s="22" t="s">
        <v>63</v>
      </c>
      <c r="F17" s="22" t="s">
        <v>58</v>
      </c>
    </row>
    <row r="18" spans="2:6">
      <c r="B18" s="3" t="s">
        <v>144</v>
      </c>
      <c r="C18" s="50">
        <f>C8*2.68/1000</f>
        <v>61.395449999999997</v>
      </c>
      <c r="D18" s="50">
        <f>D8*2.68/1000</f>
        <v>61.455749999999995</v>
      </c>
      <c r="E18" s="50">
        <f>E8*2.68/1000</f>
        <v>100.75928999999999</v>
      </c>
      <c r="F18" s="3" t="s">
        <v>142</v>
      </c>
    </row>
    <row r="19" spans="2:6">
      <c r="B19" s="3" t="s">
        <v>143</v>
      </c>
      <c r="C19" s="49">
        <f>C14*2.68/1000</f>
        <v>98.235400000000013</v>
      </c>
      <c r="D19" s="49">
        <f>D14*2.68/1000</f>
        <v>98.235400000000013</v>
      </c>
      <c r="E19" s="49">
        <f>E14*2.68/1000</f>
        <v>137.52956</v>
      </c>
      <c r="F19" s="3" t="s">
        <v>142</v>
      </c>
    </row>
    <row r="20" spans="2:6">
      <c r="B20" s="3" t="s">
        <v>141</v>
      </c>
      <c r="C20" s="61">
        <f>(('Exc02'!G4/('Exc02'!C8*10))*15*9*0.82)/1000</f>
        <v>4.9814999999999996</v>
      </c>
      <c r="D20" s="49">
        <f>('Exc02'!J4*15*9*0.82)/1000</f>
        <v>8.3025000000000002</v>
      </c>
      <c r="E20" s="49">
        <f>('Exc02'!O4*15*0.82*9)/1000</f>
        <v>28.2285</v>
      </c>
      <c r="F20" s="3" t="s">
        <v>140</v>
      </c>
    </row>
    <row r="21" spans="2:6">
      <c r="B21" s="3" t="s">
        <v>139</v>
      </c>
      <c r="C21" s="49">
        <f>SUM(C18:C20)</f>
        <v>164.61235000000002</v>
      </c>
      <c r="D21" s="49">
        <f>SUM(D18:D20)</f>
        <v>167.99365</v>
      </c>
      <c r="E21" s="49">
        <f>SUM(E18:E20)</f>
        <v>266.51735000000002</v>
      </c>
      <c r="F21" s="3" t="s">
        <v>138</v>
      </c>
    </row>
    <row r="22" spans="2:6">
      <c r="B22" s="3" t="s">
        <v>137</v>
      </c>
      <c r="C22" s="49"/>
      <c r="D22" s="48" t="s">
        <v>65</v>
      </c>
      <c r="E22" s="48">
        <f>E21-D21</f>
        <v>98.523700000000019</v>
      </c>
      <c r="F22" s="3" t="s">
        <v>136</v>
      </c>
    </row>
  </sheetData>
  <mergeCells count="3">
    <mergeCell ref="B2:F2"/>
    <mergeCell ref="B10:F10"/>
    <mergeCell ref="B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A538-ECE0-48EC-B6DE-C6B89A326088}">
  <dimension ref="A1:F37"/>
  <sheetViews>
    <sheetView zoomScale="138" workbookViewId="0">
      <selection activeCell="D38" sqref="D38"/>
    </sheetView>
  </sheetViews>
  <sheetFormatPr defaultRowHeight="14.5"/>
  <cols>
    <col min="1" max="1" width="20" bestFit="1" customWidth="1"/>
    <col min="2" max="2" width="23.08984375" bestFit="1" customWidth="1"/>
    <col min="3" max="3" width="15.453125" bestFit="1" customWidth="1"/>
    <col min="4" max="6" width="15.08984375" customWidth="1"/>
  </cols>
  <sheetData>
    <row r="1" spans="1:6" ht="42.5" thickBot="1">
      <c r="A1" s="94" t="s">
        <v>266</v>
      </c>
      <c r="B1" s="94" t="s">
        <v>267</v>
      </c>
      <c r="C1" s="94" t="s">
        <v>270</v>
      </c>
      <c r="D1" s="94" t="s">
        <v>271</v>
      </c>
      <c r="E1" s="94" t="s">
        <v>272</v>
      </c>
      <c r="F1" s="94" t="s">
        <v>273</v>
      </c>
    </row>
    <row r="2" spans="1:6" ht="15" thickBot="1">
      <c r="A2" s="94" t="s">
        <v>268</v>
      </c>
      <c r="B2" s="95" t="s">
        <v>30</v>
      </c>
      <c r="C2" s="94" t="s">
        <v>274</v>
      </c>
      <c r="D2" s="96">
        <f xml:space="preserve"> 'Shore Piling'!B12</f>
        <v>10</v>
      </c>
      <c r="E2" s="96">
        <f xml:space="preserve"> 'Shore Piling'!B10</f>
        <v>45</v>
      </c>
      <c r="F2" s="96">
        <f xml:space="preserve"> 'Shore Piling'!B24</f>
        <v>24.302666666666671</v>
      </c>
    </row>
    <row r="3" spans="1:6" ht="15" thickBot="1">
      <c r="A3" s="94" t="s">
        <v>268</v>
      </c>
      <c r="B3" s="95" t="s">
        <v>30</v>
      </c>
      <c r="C3" s="94" t="s">
        <v>66</v>
      </c>
      <c r="D3" s="96">
        <f xml:space="preserve"> 'Shore Piling'!C12</f>
        <v>15</v>
      </c>
      <c r="E3" s="96">
        <f xml:space="preserve"> 'Shore Piling'!C10</f>
        <v>60</v>
      </c>
      <c r="F3" s="96">
        <f xml:space="preserve"> 'Shore Piling'!C24</f>
        <v>33.325333333333333</v>
      </c>
    </row>
    <row r="4" spans="1:6" ht="15" thickBot="1">
      <c r="A4" s="94" t="s">
        <v>268</v>
      </c>
      <c r="B4" s="95" t="s">
        <v>30</v>
      </c>
      <c r="C4" s="94" t="s">
        <v>275</v>
      </c>
      <c r="D4" s="96">
        <f xml:space="preserve"> 'Shore Piling'!D12</f>
        <v>35</v>
      </c>
      <c r="E4" s="96">
        <f xml:space="preserve"> 'Shore Piling'!D10</f>
        <v>110</v>
      </c>
      <c r="F4" s="96">
        <f xml:space="preserve"> 'Shore Piling'!D24</f>
        <v>64.592000000000013</v>
      </c>
    </row>
    <row r="5" spans="1:6" ht="15" thickBot="1">
      <c r="A5" s="94" t="s">
        <v>268</v>
      </c>
      <c r="B5" s="95" t="s">
        <v>276</v>
      </c>
      <c r="C5" s="94" t="s">
        <v>274</v>
      </c>
      <c r="D5" s="96">
        <f xml:space="preserve"> 'Shore Piling'!B13</f>
        <v>30</v>
      </c>
      <c r="E5" s="96">
        <f xml:space="preserve"> 'Shore Piling'!B10</f>
        <v>45</v>
      </c>
      <c r="F5" s="96">
        <f xml:space="preserve"> 'Shore Piling'!B24</f>
        <v>24.302666666666671</v>
      </c>
    </row>
    <row r="6" spans="1:6" ht="15" thickBot="1">
      <c r="A6" s="94" t="s">
        <v>268</v>
      </c>
      <c r="B6" s="95" t="s">
        <v>276</v>
      </c>
      <c r="C6" s="94" t="s">
        <v>66</v>
      </c>
      <c r="D6" s="96">
        <f xml:space="preserve"> 'Shore Piling'!C13</f>
        <v>40</v>
      </c>
      <c r="E6" s="96">
        <f xml:space="preserve"> 'Shore Piling'!C10</f>
        <v>60</v>
      </c>
      <c r="F6" s="96">
        <f xml:space="preserve"> 'Shore Piling'!C24</f>
        <v>33.325333333333333</v>
      </c>
    </row>
    <row r="7" spans="1:6" ht="15" thickBot="1">
      <c r="A7" s="94" t="s">
        <v>268</v>
      </c>
      <c r="B7" s="95" t="s">
        <v>276</v>
      </c>
      <c r="C7" s="94" t="s">
        <v>275</v>
      </c>
      <c r="D7" s="96">
        <f xml:space="preserve"> 'Shore Piling'!D13</f>
        <v>55</v>
      </c>
      <c r="E7" s="96">
        <f xml:space="preserve"> 'Shore Piling'!D10</f>
        <v>110</v>
      </c>
      <c r="F7" s="96">
        <f xml:space="preserve"> 'Shore Piling'!D24</f>
        <v>64.592000000000013</v>
      </c>
    </row>
    <row r="8" spans="1:6" ht="15" thickBot="1">
      <c r="A8" s="94" t="s">
        <v>268</v>
      </c>
      <c r="B8" s="95" t="s">
        <v>277</v>
      </c>
      <c r="C8" s="94" t="s">
        <v>274</v>
      </c>
      <c r="D8" s="96">
        <f xml:space="preserve"> 'Shore Piling'!B14</f>
        <v>60</v>
      </c>
      <c r="E8" s="96">
        <f xml:space="preserve"> 'Shore Piling'!B10</f>
        <v>45</v>
      </c>
      <c r="F8" s="96">
        <f xml:space="preserve"> 'Shore Piling'!B24</f>
        <v>24.302666666666671</v>
      </c>
    </row>
    <row r="9" spans="1:6" ht="15" thickBot="1">
      <c r="A9" s="94" t="s">
        <v>268</v>
      </c>
      <c r="B9" s="95" t="s">
        <v>277</v>
      </c>
      <c r="C9" s="94" t="s">
        <v>66</v>
      </c>
      <c r="D9" s="96">
        <f xml:space="preserve"> 'Shore Piling'!C14</f>
        <v>80</v>
      </c>
      <c r="E9" s="96">
        <f xml:space="preserve"> 'Shore Piling'!C10</f>
        <v>60</v>
      </c>
      <c r="F9" s="96">
        <f xml:space="preserve"> 'Shore Piling'!C24</f>
        <v>33.325333333333333</v>
      </c>
    </row>
    <row r="10" spans="1:6" ht="15" thickBot="1">
      <c r="A10" s="94" t="s">
        <v>268</v>
      </c>
      <c r="B10" s="95" t="s">
        <v>277</v>
      </c>
      <c r="C10" s="94" t="s">
        <v>275</v>
      </c>
      <c r="D10" s="96">
        <f xml:space="preserve"> 'Shore Piling'!D14</f>
        <v>125</v>
      </c>
      <c r="E10" s="96">
        <f xml:space="preserve"> 'Shore Piling'!D10</f>
        <v>110</v>
      </c>
      <c r="F10" s="96">
        <f xml:space="preserve"> 'Shore Piling'!D24</f>
        <v>64.592000000000013</v>
      </c>
    </row>
    <row r="11" spans="1:6" ht="15" thickBot="1">
      <c r="A11" s="94" t="s">
        <v>268</v>
      </c>
      <c r="B11" s="95" t="s">
        <v>33</v>
      </c>
      <c r="C11" s="94" t="s">
        <v>274</v>
      </c>
      <c r="D11" s="96">
        <f xml:space="preserve"> 'Shore Piling'!B15</f>
        <v>15</v>
      </c>
      <c r="E11" s="96">
        <f xml:space="preserve"> 'Shore Piling'!B10</f>
        <v>45</v>
      </c>
      <c r="F11" s="96">
        <f xml:space="preserve"> 'Shore Piling'!B24</f>
        <v>24.302666666666671</v>
      </c>
    </row>
    <row r="12" spans="1:6" ht="15" thickBot="1">
      <c r="A12" s="94" t="s">
        <v>268</v>
      </c>
      <c r="B12" s="95" t="s">
        <v>33</v>
      </c>
      <c r="C12" s="94" t="s">
        <v>66</v>
      </c>
      <c r="D12" s="96">
        <f xml:space="preserve"> 'Shore Piling'!C15</f>
        <v>20</v>
      </c>
      <c r="E12" s="96">
        <f xml:space="preserve"> 'Shore Piling'!C10</f>
        <v>60</v>
      </c>
      <c r="F12" s="96">
        <f xml:space="preserve"> 'Shore Piling'!C24</f>
        <v>33.325333333333333</v>
      </c>
    </row>
    <row r="13" spans="1:6" ht="15" thickBot="1">
      <c r="A13" s="94" t="s">
        <v>268</v>
      </c>
      <c r="B13" s="95" t="s">
        <v>33</v>
      </c>
      <c r="C13" s="94" t="s">
        <v>275</v>
      </c>
      <c r="D13" s="96">
        <f xml:space="preserve"> 'Shore Piling'!D15</f>
        <v>40</v>
      </c>
      <c r="E13" s="96">
        <f xml:space="preserve"> 'Shore Piling'!D10</f>
        <v>110</v>
      </c>
      <c r="F13" s="96">
        <f xml:space="preserve"> 'Shore Piling'!D24</f>
        <v>64.592000000000013</v>
      </c>
    </row>
    <row r="14" spans="1:6" ht="15" thickBot="1">
      <c r="A14" s="94" t="s">
        <v>268</v>
      </c>
      <c r="B14" s="95" t="s">
        <v>34</v>
      </c>
      <c r="C14" s="94" t="s">
        <v>274</v>
      </c>
      <c r="D14" s="96">
        <f xml:space="preserve"> 'Shore Piling'!B16</f>
        <v>15</v>
      </c>
      <c r="E14" s="96">
        <f xml:space="preserve"> 'Shore Piling'!B10</f>
        <v>45</v>
      </c>
      <c r="F14" s="96">
        <f xml:space="preserve"> 'Shore Piling'!B24</f>
        <v>24.302666666666671</v>
      </c>
    </row>
    <row r="15" spans="1:6" ht="15" thickBot="1">
      <c r="A15" s="94" t="s">
        <v>268</v>
      </c>
      <c r="B15" s="95" t="s">
        <v>34</v>
      </c>
      <c r="C15" s="94" t="s">
        <v>66</v>
      </c>
      <c r="D15" s="96">
        <f xml:space="preserve"> 'Shore Piling'!C16</f>
        <v>20</v>
      </c>
      <c r="E15" s="96">
        <f xml:space="preserve"> 'Shore Piling'!C10</f>
        <v>60</v>
      </c>
      <c r="F15" s="96">
        <f xml:space="preserve"> 'Shore Piling'!C24</f>
        <v>33.325333333333333</v>
      </c>
    </row>
    <row r="16" spans="1:6" ht="15" thickBot="1">
      <c r="A16" s="94" t="s">
        <v>268</v>
      </c>
      <c r="B16" s="95" t="s">
        <v>34</v>
      </c>
      <c r="C16" s="94" t="s">
        <v>275</v>
      </c>
      <c r="D16" s="96">
        <f xml:space="preserve"> 'Shore Piling'!D16</f>
        <v>45</v>
      </c>
      <c r="E16" s="96">
        <f xml:space="preserve"> 'Shore Piling'!D10</f>
        <v>110</v>
      </c>
      <c r="F16" s="96">
        <f xml:space="preserve"> 'Shore Piling'!D24</f>
        <v>64.592000000000013</v>
      </c>
    </row>
    <row r="17" spans="1:6" ht="15" thickBot="1">
      <c r="A17" s="94" t="s">
        <v>268</v>
      </c>
      <c r="B17" s="95" t="s">
        <v>35</v>
      </c>
      <c r="C17" s="94" t="s">
        <v>274</v>
      </c>
      <c r="D17" s="96">
        <f xml:space="preserve"> 'Shore Piling'!B17</f>
        <v>5</v>
      </c>
      <c r="E17" s="96">
        <f xml:space="preserve"> 'Shore Piling'!B10</f>
        <v>45</v>
      </c>
      <c r="F17" s="96">
        <f xml:space="preserve"> 'Shore Piling'!B24</f>
        <v>24.302666666666671</v>
      </c>
    </row>
    <row r="18" spans="1:6" ht="15" thickBot="1">
      <c r="A18" s="94" t="s">
        <v>268</v>
      </c>
      <c r="B18" s="95" t="s">
        <v>35</v>
      </c>
      <c r="C18" s="94" t="s">
        <v>66</v>
      </c>
      <c r="D18" s="96">
        <f xml:space="preserve"> 'Shore Piling'!C17</f>
        <v>20</v>
      </c>
      <c r="E18" s="96">
        <f xml:space="preserve"> 'Shore Piling'!C10</f>
        <v>60</v>
      </c>
      <c r="F18" s="96">
        <f xml:space="preserve"> 'Shore Piling'!C24</f>
        <v>33.325333333333333</v>
      </c>
    </row>
    <row r="19" spans="1:6" ht="15" thickBot="1">
      <c r="A19" s="94" t="s">
        <v>268</v>
      </c>
      <c r="B19" s="95" t="s">
        <v>35</v>
      </c>
      <c r="C19" s="94" t="s">
        <v>275</v>
      </c>
      <c r="D19" s="96">
        <f xml:space="preserve"> 'Shore Piling'!D17</f>
        <v>90</v>
      </c>
      <c r="E19" s="96">
        <f xml:space="preserve"> 'Shore Piling'!D10</f>
        <v>110</v>
      </c>
      <c r="F19" s="96">
        <f xml:space="preserve"> 'Shore Piling'!D24</f>
        <v>64.592000000000013</v>
      </c>
    </row>
    <row r="20" spans="1:6" ht="15" thickBot="1">
      <c r="A20" s="94" t="s">
        <v>268</v>
      </c>
      <c r="B20" s="95" t="s">
        <v>36</v>
      </c>
      <c r="C20" s="94" t="s">
        <v>274</v>
      </c>
      <c r="D20" s="96">
        <f xml:space="preserve"> 'Shore Piling'!B18</f>
        <v>35</v>
      </c>
      <c r="E20" s="96">
        <f xml:space="preserve"> 'Shore Piling'!B10</f>
        <v>45</v>
      </c>
      <c r="F20" s="96">
        <f xml:space="preserve"> 'Shore Piling'!B24</f>
        <v>24.302666666666671</v>
      </c>
    </row>
    <row r="21" spans="1:6" ht="15" thickBot="1">
      <c r="A21" s="94" t="s">
        <v>268</v>
      </c>
      <c r="B21" s="95" t="s">
        <v>36</v>
      </c>
      <c r="C21" s="94" t="s">
        <v>66</v>
      </c>
      <c r="D21" s="96">
        <f xml:space="preserve"> 'Shore Piling'!C18</f>
        <v>45</v>
      </c>
      <c r="E21" s="96">
        <f xml:space="preserve"> 'Shore Piling'!C10</f>
        <v>60</v>
      </c>
      <c r="F21" s="96">
        <f xml:space="preserve"> 'Shore Piling'!C24</f>
        <v>33.325333333333333</v>
      </c>
    </row>
    <row r="22" spans="1:6" ht="15" thickBot="1">
      <c r="A22" s="94" t="s">
        <v>268</v>
      </c>
      <c r="B22" s="95" t="s">
        <v>36</v>
      </c>
      <c r="C22" s="94" t="s">
        <v>275</v>
      </c>
      <c r="D22" s="96">
        <f xml:space="preserve"> 'Shore Piling'!D18</f>
        <v>65</v>
      </c>
      <c r="E22" s="96">
        <f xml:space="preserve"> 'Shore Piling'!D10</f>
        <v>110</v>
      </c>
      <c r="F22" s="96">
        <f xml:space="preserve"> 'Shore Piling'!D24</f>
        <v>64.592000000000013</v>
      </c>
    </row>
    <row r="23" spans="1:6" ht="15" thickBot="1">
      <c r="A23" s="94" t="s">
        <v>268</v>
      </c>
      <c r="B23" s="95" t="s">
        <v>37</v>
      </c>
      <c r="C23" s="94" t="s">
        <v>274</v>
      </c>
      <c r="D23" s="96">
        <f xml:space="preserve"> 'Shore Piling'!B19</f>
        <v>10</v>
      </c>
      <c r="E23" s="96">
        <f xml:space="preserve"> 'Shore Piling'!B10</f>
        <v>45</v>
      </c>
      <c r="F23" s="96">
        <f xml:space="preserve"> 'Shore Piling'!B24</f>
        <v>24.302666666666671</v>
      </c>
    </row>
    <row r="24" spans="1:6" ht="15" thickBot="1">
      <c r="A24" s="94" t="s">
        <v>268</v>
      </c>
      <c r="B24" s="95" t="s">
        <v>37</v>
      </c>
      <c r="C24" s="94" t="s">
        <v>66</v>
      </c>
      <c r="D24" s="96">
        <f xml:space="preserve"> 'Shore Piling'!C19</f>
        <v>15</v>
      </c>
      <c r="E24" s="96">
        <f xml:space="preserve"> 'Shore Piling'!C10</f>
        <v>60</v>
      </c>
      <c r="F24" s="96">
        <f xml:space="preserve"> 'Shore Piling'!C24</f>
        <v>33.325333333333333</v>
      </c>
    </row>
    <row r="25" spans="1:6" ht="15" thickBot="1">
      <c r="A25" s="94" t="s">
        <v>268</v>
      </c>
      <c r="B25" s="95" t="s">
        <v>37</v>
      </c>
      <c r="C25" s="94" t="s">
        <v>275</v>
      </c>
      <c r="D25" s="96">
        <f xml:space="preserve"> 'Shore Piling'!D19</f>
        <v>40</v>
      </c>
      <c r="E25" s="96">
        <f xml:space="preserve"> 'Shore Piling'!D10</f>
        <v>110</v>
      </c>
      <c r="F25" s="96">
        <f xml:space="preserve"> 'Shore Piling'!D24</f>
        <v>64.592000000000013</v>
      </c>
    </row>
    <row r="26" spans="1:6" ht="15" thickBot="1">
      <c r="A26" s="94" t="s">
        <v>269</v>
      </c>
      <c r="B26" s="95" t="s">
        <v>278</v>
      </c>
      <c r="C26" s="94" t="s">
        <v>274</v>
      </c>
      <c r="D26" s="96">
        <f>'Exc01'!D8</f>
        <v>1</v>
      </c>
      <c r="E26" s="96">
        <f>Excavation!$B$18</f>
        <v>45</v>
      </c>
      <c r="F26" s="96">
        <f>Excavation!$B$43</f>
        <v>164.61235000000002</v>
      </c>
    </row>
    <row r="27" spans="1:6" ht="15" thickBot="1">
      <c r="A27" s="94" t="s">
        <v>269</v>
      </c>
      <c r="B27" s="95" t="s">
        <v>278</v>
      </c>
      <c r="C27" s="94" t="s">
        <v>66</v>
      </c>
      <c r="D27" s="96">
        <f>'Exc01'!E8</f>
        <v>2.5</v>
      </c>
      <c r="E27" s="96">
        <f>Excavation!$C$18</f>
        <v>75</v>
      </c>
      <c r="F27" s="96">
        <f>Excavation!$C$43</f>
        <v>167.99365</v>
      </c>
    </row>
    <row r="28" spans="1:6" ht="15" thickBot="1">
      <c r="A28" s="94" t="s">
        <v>269</v>
      </c>
      <c r="B28" s="95" t="s">
        <v>278</v>
      </c>
      <c r="C28" s="94" t="s">
        <v>275</v>
      </c>
      <c r="D28" s="96">
        <f>'Exc01'!F8</f>
        <v>8</v>
      </c>
      <c r="E28" s="96">
        <f>Excavation!$D$18</f>
        <v>255</v>
      </c>
      <c r="F28" s="96">
        <f>Excavation!$D$43</f>
        <v>266.51735000000002</v>
      </c>
    </row>
    <row r="29" spans="1:6" ht="15" thickBot="1">
      <c r="A29" s="94" t="s">
        <v>269</v>
      </c>
      <c r="B29" s="95" t="s">
        <v>279</v>
      </c>
      <c r="C29" s="94" t="s">
        <v>274</v>
      </c>
      <c r="D29" s="96">
        <f>'Exc01'!D9</f>
        <v>5</v>
      </c>
      <c r="E29" s="96">
        <f>Excavation!$B$18</f>
        <v>45</v>
      </c>
      <c r="F29" s="96">
        <f>Excavation!$B$43</f>
        <v>164.61235000000002</v>
      </c>
    </row>
    <row r="30" spans="1:6" ht="15" thickBot="1">
      <c r="A30" s="94" t="s">
        <v>269</v>
      </c>
      <c r="B30" s="95" t="s">
        <v>279</v>
      </c>
      <c r="C30" s="94" t="s">
        <v>66</v>
      </c>
      <c r="D30" s="96">
        <f>'Exc01'!E9</f>
        <v>6</v>
      </c>
      <c r="E30" s="96">
        <f>Excavation!$C$18</f>
        <v>75</v>
      </c>
      <c r="F30" s="96">
        <f>Excavation!$C$43</f>
        <v>167.99365</v>
      </c>
    </row>
    <row r="31" spans="1:6" ht="15" thickBot="1">
      <c r="A31" s="94" t="s">
        <v>269</v>
      </c>
      <c r="B31" s="95" t="s">
        <v>279</v>
      </c>
      <c r="C31" s="94" t="s">
        <v>275</v>
      </c>
      <c r="D31" s="96">
        <f>'Exc01'!F9</f>
        <v>6</v>
      </c>
      <c r="E31" s="96">
        <f>Excavation!$D$18</f>
        <v>255</v>
      </c>
      <c r="F31" s="96">
        <f>Excavation!$D$43</f>
        <v>266.51735000000002</v>
      </c>
    </row>
    <row r="32" spans="1:6" ht="15" thickBot="1">
      <c r="A32" s="94" t="s">
        <v>269</v>
      </c>
      <c r="B32" s="95" t="s">
        <v>280</v>
      </c>
      <c r="C32" s="94" t="s">
        <v>274</v>
      </c>
      <c r="D32" s="96">
        <f>'Exc01'!D10</f>
        <v>1</v>
      </c>
      <c r="E32" s="96">
        <f>Excavation!$B$18</f>
        <v>45</v>
      </c>
      <c r="F32" s="96">
        <f>Excavation!$B$43</f>
        <v>164.61235000000002</v>
      </c>
    </row>
    <row r="33" spans="1:6" ht="15" thickBot="1">
      <c r="A33" s="94" t="s">
        <v>269</v>
      </c>
      <c r="B33" s="95" t="s">
        <v>280</v>
      </c>
      <c r="C33" s="94" t="s">
        <v>66</v>
      </c>
      <c r="D33" s="96">
        <f>'Exc01'!E10</f>
        <v>2.5</v>
      </c>
      <c r="E33" s="96">
        <f>Excavation!$C$18</f>
        <v>75</v>
      </c>
      <c r="F33" s="96">
        <f>Excavation!$C$43</f>
        <v>167.99365</v>
      </c>
    </row>
    <row r="34" spans="1:6" ht="15" thickBot="1">
      <c r="A34" s="94" t="s">
        <v>269</v>
      </c>
      <c r="B34" s="95" t="s">
        <v>280</v>
      </c>
      <c r="C34" s="94" t="s">
        <v>275</v>
      </c>
      <c r="D34" s="96">
        <f>'Exc01'!F10</f>
        <v>10</v>
      </c>
      <c r="E34" s="96">
        <f>Excavation!$D$18</f>
        <v>255</v>
      </c>
      <c r="F34" s="96">
        <f>Excavation!$D$43</f>
        <v>266.51735000000002</v>
      </c>
    </row>
    <row r="35" spans="1:6" ht="15" thickBot="1">
      <c r="A35" s="94" t="s">
        <v>269</v>
      </c>
      <c r="B35" s="95" t="s">
        <v>281</v>
      </c>
      <c r="C35" s="94" t="s">
        <v>274</v>
      </c>
      <c r="D35" s="96">
        <f>'Exc01'!D11</f>
        <v>0</v>
      </c>
      <c r="E35" s="96">
        <f>Excavation!$B$18</f>
        <v>45</v>
      </c>
      <c r="F35" s="96">
        <f>Excavation!$B$43</f>
        <v>164.61235000000002</v>
      </c>
    </row>
    <row r="36" spans="1:6" ht="15" thickBot="1">
      <c r="A36" s="94" t="s">
        <v>269</v>
      </c>
      <c r="B36" s="95" t="s">
        <v>281</v>
      </c>
      <c r="C36" s="94" t="s">
        <v>66</v>
      </c>
      <c r="D36" s="96">
        <f>'Exc01'!E11</f>
        <v>2.0408163265306811E-2</v>
      </c>
      <c r="E36" s="96">
        <f>Excavation!$C$18</f>
        <v>75</v>
      </c>
      <c r="F36" s="96">
        <f>Excavation!$C$43</f>
        <v>167.99365</v>
      </c>
    </row>
    <row r="37" spans="1:6" ht="15" thickBot="1">
      <c r="A37" s="94" t="s">
        <v>269</v>
      </c>
      <c r="B37" s="95" t="s">
        <v>281</v>
      </c>
      <c r="C37" s="94" t="s">
        <v>275</v>
      </c>
      <c r="D37" s="96">
        <f>'Exc01'!F11</f>
        <v>13.241379310344826</v>
      </c>
      <c r="E37" s="96">
        <f>Excavation!$D$18</f>
        <v>255</v>
      </c>
      <c r="F37" s="96">
        <f>Excavation!$D$43</f>
        <v>266.51735000000002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2F06-9E0B-46AF-9E09-690F0150C99B}">
  <sheetPr codeName="Sheet1"/>
  <dimension ref="A1:D26"/>
  <sheetViews>
    <sheetView zoomScale="69" workbookViewId="0">
      <selection activeCell="B17" sqref="B17"/>
    </sheetView>
  </sheetViews>
  <sheetFormatPr defaultRowHeight="15.5"/>
  <cols>
    <col min="1" max="1" width="39.36328125" style="24" customWidth="1"/>
    <col min="2" max="4" width="25.81640625" style="25" customWidth="1"/>
    <col min="5" max="16384" width="8.7265625" style="24"/>
  </cols>
  <sheetData>
    <row r="1" spans="1:4">
      <c r="A1" s="85" t="s">
        <v>0</v>
      </c>
      <c r="B1" s="86">
        <v>18</v>
      </c>
    </row>
    <row r="2" spans="1:4">
      <c r="A2" s="85" t="s">
        <v>1</v>
      </c>
      <c r="B2" s="86">
        <v>750</v>
      </c>
    </row>
    <row r="3" spans="1:4">
      <c r="A3" s="85" t="s">
        <v>2</v>
      </c>
      <c r="B3" s="86">
        <v>150</v>
      </c>
    </row>
    <row r="4" spans="1:4">
      <c r="A4" s="85" t="s">
        <v>3</v>
      </c>
      <c r="B4" s="86">
        <f>B2+B3</f>
        <v>900</v>
      </c>
    </row>
    <row r="5" spans="1:4">
      <c r="A5" s="85" t="s">
        <v>4</v>
      </c>
      <c r="B5" s="86">
        <v>200</v>
      </c>
    </row>
    <row r="6" spans="1:4">
      <c r="A6" s="85" t="s">
        <v>5</v>
      </c>
      <c r="B6" s="86">
        <v>60</v>
      </c>
    </row>
    <row r="7" spans="1:4">
      <c r="A7" s="85" t="s">
        <v>6</v>
      </c>
      <c r="B7" s="86">
        <f>B5*B1</f>
        <v>3600</v>
      </c>
    </row>
    <row r="8" spans="1:4">
      <c r="A8" s="85" t="s">
        <v>7</v>
      </c>
      <c r="B8" s="86">
        <f>B7/B6</f>
        <v>60</v>
      </c>
    </row>
    <row r="9" spans="1:4">
      <c r="A9" s="87" t="s">
        <v>8</v>
      </c>
      <c r="B9" s="88">
        <f>B5/B8</f>
        <v>3.3333333333333335</v>
      </c>
    </row>
    <row r="10" spans="1:4">
      <c r="A10" s="85" t="s">
        <v>9</v>
      </c>
      <c r="B10" s="86">
        <v>45</v>
      </c>
      <c r="C10" s="86">
        <v>60</v>
      </c>
      <c r="D10" s="86">
        <v>110</v>
      </c>
    </row>
    <row r="11" spans="1:4">
      <c r="A11" s="92" t="s">
        <v>10</v>
      </c>
      <c r="B11" s="89" t="s">
        <v>11</v>
      </c>
      <c r="C11" s="89" t="s">
        <v>12</v>
      </c>
      <c r="D11" s="89" t="s">
        <v>13</v>
      </c>
    </row>
    <row r="12" spans="1:4">
      <c r="A12" s="92" t="s">
        <v>14</v>
      </c>
      <c r="B12" s="89">
        <v>10</v>
      </c>
      <c r="C12" s="89">
        <v>15</v>
      </c>
      <c r="D12" s="89">
        <v>35</v>
      </c>
    </row>
    <row r="13" spans="1:4">
      <c r="A13" s="92" t="s">
        <v>15</v>
      </c>
      <c r="B13" s="89">
        <v>30</v>
      </c>
      <c r="C13" s="89">
        <v>40</v>
      </c>
      <c r="D13" s="89">
        <v>55</v>
      </c>
    </row>
    <row r="14" spans="1:4">
      <c r="A14" s="92" t="s">
        <v>16</v>
      </c>
      <c r="B14" s="89">
        <v>60</v>
      </c>
      <c r="C14" s="89">
        <v>80</v>
      </c>
      <c r="D14" s="89">
        <v>125</v>
      </c>
    </row>
    <row r="15" spans="1:4">
      <c r="A15" s="92" t="s">
        <v>17</v>
      </c>
      <c r="B15" s="89">
        <v>15</v>
      </c>
      <c r="C15" s="89">
        <v>20</v>
      </c>
      <c r="D15" s="89">
        <v>40</v>
      </c>
    </row>
    <row r="16" spans="1:4">
      <c r="A16" s="92" t="s">
        <v>18</v>
      </c>
      <c r="B16" s="89">
        <v>15</v>
      </c>
      <c r="C16" s="89">
        <v>20</v>
      </c>
      <c r="D16" s="89">
        <v>45</v>
      </c>
    </row>
    <row r="17" spans="1:4">
      <c r="A17" s="92" t="s">
        <v>19</v>
      </c>
      <c r="B17" s="89">
        <v>5</v>
      </c>
      <c r="C17" s="89">
        <v>20</v>
      </c>
      <c r="D17" s="89">
        <v>90</v>
      </c>
    </row>
    <row r="18" spans="1:4">
      <c r="A18" s="92" t="s">
        <v>20</v>
      </c>
      <c r="B18" s="89">
        <v>35</v>
      </c>
      <c r="C18" s="89">
        <v>45</v>
      </c>
      <c r="D18" s="89">
        <v>65</v>
      </c>
    </row>
    <row r="19" spans="1:4">
      <c r="A19" s="92" t="s">
        <v>21</v>
      </c>
      <c r="B19" s="89">
        <v>10</v>
      </c>
      <c r="C19" s="89">
        <v>15</v>
      </c>
      <c r="D19" s="89">
        <v>40</v>
      </c>
    </row>
    <row r="20" spans="1:4">
      <c r="A20" s="92" t="s">
        <v>22</v>
      </c>
      <c r="B20" s="89">
        <f>SUM(B12:B19)</f>
        <v>180</v>
      </c>
      <c r="C20" s="89">
        <f t="shared" ref="C20" si="0">SUM(C12:C19)</f>
        <v>255</v>
      </c>
      <c r="D20" s="89">
        <f>SUM(D12:D19)</f>
        <v>495</v>
      </c>
    </row>
    <row r="21" spans="1:4">
      <c r="A21" s="92" t="s">
        <v>23</v>
      </c>
      <c r="B21" s="90">
        <f>B5*(SUM(B12:B15)/60)*22</f>
        <v>8433.3333333333339</v>
      </c>
      <c r="C21" s="90">
        <f>B5*(SUM(C12:C15)/60)*22</f>
        <v>11366.666666666668</v>
      </c>
      <c r="D21" s="90">
        <f>B5*(SUM(D12:D15)/60)*22</f>
        <v>18700</v>
      </c>
    </row>
    <row r="22" spans="1:4">
      <c r="A22" s="92" t="s">
        <v>24</v>
      </c>
      <c r="B22" s="90">
        <f>B5*(SUM(B16:B17)/60)*6.5</f>
        <v>433.33333333333326</v>
      </c>
      <c r="C22" s="90">
        <f>B5*(SUM(C16:C17)/60)*6.5</f>
        <v>866.66666666666652</v>
      </c>
      <c r="D22" s="91">
        <f>B5*(240/60)*6.5</f>
        <v>5200</v>
      </c>
    </row>
    <row r="23" spans="1:4">
      <c r="A23" s="92" t="s">
        <v>25</v>
      </c>
      <c r="B23" s="91">
        <f>30*0.4</f>
        <v>12</v>
      </c>
      <c r="C23" s="91">
        <f>30*0.4</f>
        <v>12</v>
      </c>
      <c r="D23" s="91">
        <f>30*0.4</f>
        <v>12</v>
      </c>
    </row>
    <row r="24" spans="1:4">
      <c r="A24" s="92" t="s">
        <v>26</v>
      </c>
      <c r="B24" s="91">
        <f>(((B21+B22)*2.68)+(B23)*45)/1000</f>
        <v>24.302666666666671</v>
      </c>
      <c r="C24" s="91">
        <f>(((C21+C22)*2.68)+(C23)*45)/1000</f>
        <v>33.325333333333333</v>
      </c>
      <c r="D24" s="91">
        <f>(((D21+D22)*2.68)+(D23)*45)/1000</f>
        <v>64.592000000000013</v>
      </c>
    </row>
    <row r="25" spans="1:4">
      <c r="A25" s="92" t="s">
        <v>27</v>
      </c>
      <c r="B25" s="90">
        <f>(B24/B5)*1000</f>
        <v>121.51333333333335</v>
      </c>
      <c r="C25" s="90">
        <f>(C24/200)*1000</f>
        <v>166.62666666666667</v>
      </c>
      <c r="D25" s="90">
        <f>(D24/200)*1000</f>
        <v>322.96000000000009</v>
      </c>
    </row>
    <row r="26" spans="1:4">
      <c r="A26" s="92" t="s">
        <v>28</v>
      </c>
      <c r="B26" s="93">
        <f>B22/(SUM(B21,B22))</f>
        <v>4.8872180451127803E-2</v>
      </c>
      <c r="C26" s="93">
        <f>C22/(SUM(C21,C22))</f>
        <v>7.084468664850134E-2</v>
      </c>
      <c r="D26" s="93">
        <f>D22/(SUM(D21,D22))</f>
        <v>0.21757322175732219</v>
      </c>
    </row>
  </sheetData>
  <pageMargins left="0.7" right="0.7" top="0.75" bottom="0.75" header="0.3" footer="0.3"/>
  <pageSetup orientation="portrait" verticalDpi="0" r:id="rId1"/>
  <headerFooter>
    <oddFooter>&amp;L_x000D_&amp;1#&amp;"Aptos"&amp;8&amp;K0078D7 Sensitivity : This Document is Classified as "LNT Internal Use".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3FE5-D29A-4A00-99CA-78C0F773AA7F}">
  <sheetPr codeName="Sheet2"/>
  <dimension ref="A2:M20"/>
  <sheetViews>
    <sheetView zoomScale="75" zoomScaleNormal="43" workbookViewId="0">
      <selection sqref="A1:XFD1048576"/>
    </sheetView>
  </sheetViews>
  <sheetFormatPr defaultRowHeight="14"/>
  <cols>
    <col min="1" max="1" width="8.7265625" style="6"/>
    <col min="2" max="2" width="55.54296875" style="6" bestFit="1" customWidth="1"/>
    <col min="3" max="3" width="27.7265625" style="8" bestFit="1" customWidth="1"/>
    <col min="4" max="4" width="58.08984375" style="8" bestFit="1" customWidth="1"/>
    <col min="5" max="5" width="42.1796875" style="8" bestFit="1" customWidth="1"/>
    <col min="6" max="6" width="2.1796875" style="6" customWidth="1"/>
    <col min="7" max="7" width="31.81640625" style="6" bestFit="1" customWidth="1"/>
    <col min="8" max="8" width="16.6328125" style="6" bestFit="1" customWidth="1"/>
    <col min="9" max="9" width="23.453125" style="6" bestFit="1" customWidth="1"/>
    <col min="10" max="10" width="8.7265625" style="6"/>
    <col min="11" max="11" width="28.26953125" style="6" bestFit="1" customWidth="1"/>
    <col min="12" max="12" width="37.6328125" style="6" bestFit="1" customWidth="1"/>
    <col min="13" max="13" width="49.26953125" style="6" bestFit="1" customWidth="1"/>
    <col min="14" max="14" width="57.90625" style="6" customWidth="1"/>
    <col min="15" max="16384" width="8.7265625" style="6"/>
  </cols>
  <sheetData>
    <row r="2" spans="1:13">
      <c r="G2" s="66"/>
      <c r="H2" s="66"/>
      <c r="I2" s="66"/>
      <c r="J2" s="71"/>
    </row>
    <row r="3" spans="1:13" ht="28">
      <c r="A3" s="66"/>
      <c r="B3" s="9" t="s">
        <v>166</v>
      </c>
      <c r="C3" s="59" t="s">
        <v>167</v>
      </c>
      <c r="D3" s="59" t="s">
        <v>168</v>
      </c>
      <c r="E3" s="59" t="s">
        <v>169</v>
      </c>
      <c r="G3" s="1"/>
      <c r="K3" s="68"/>
      <c r="L3" s="70" t="s">
        <v>171</v>
      </c>
      <c r="M3" s="70" t="s">
        <v>172</v>
      </c>
    </row>
    <row r="4" spans="1:13">
      <c r="A4" s="66"/>
      <c r="B4" s="9" t="s">
        <v>170</v>
      </c>
      <c r="C4" s="62">
        <v>3</v>
      </c>
      <c r="D4" s="63"/>
      <c r="E4" s="63"/>
      <c r="G4" s="9" t="s">
        <v>43</v>
      </c>
      <c r="H4" s="59" t="s">
        <v>44</v>
      </c>
      <c r="I4" s="59" t="s">
        <v>45</v>
      </c>
      <c r="K4" s="67" t="s">
        <v>38</v>
      </c>
      <c r="L4" s="69" t="s">
        <v>240</v>
      </c>
      <c r="M4" s="72">
        <v>0</v>
      </c>
    </row>
    <row r="5" spans="1:13">
      <c r="A5" s="66"/>
      <c r="B5" s="64"/>
      <c r="C5" s="60"/>
      <c r="D5" s="60"/>
      <c r="E5" s="60"/>
      <c r="G5" s="10" t="s">
        <v>30</v>
      </c>
      <c r="H5" s="60" t="s">
        <v>227</v>
      </c>
      <c r="I5" s="60" t="s">
        <v>173</v>
      </c>
      <c r="J5" s="6" t="s">
        <v>173</v>
      </c>
      <c r="K5" s="67" t="s">
        <v>39</v>
      </c>
      <c r="L5" s="69" t="s">
        <v>241</v>
      </c>
      <c r="M5" s="72">
        <v>0</v>
      </c>
    </row>
    <row r="6" spans="1:13">
      <c r="A6" s="66"/>
      <c r="B6" s="9" t="s">
        <v>40</v>
      </c>
      <c r="C6" s="62" t="s">
        <v>29</v>
      </c>
      <c r="D6" s="65" t="str">
        <f>IF(C6="Y", "VSM Active: Eliminates 30% of non-productive waste layout handling.", "VSM Inactive: Maintaining standard historical logistical waste loops.")</f>
        <v>VSM Inactive: Maintaining standard historical logistical waste loops.</v>
      </c>
      <c r="E6" s="62" t="str">
        <f>IF(C6="Y", "Ref: IGLC Waste Benchmarks. Corresponds to the elimination of Muda (Type-1 non-value adding activities) by minimizing micro-handover delays between macro cycle changes.", "")</f>
        <v/>
      </c>
      <c r="G6" s="10" t="s">
        <v>31</v>
      </c>
      <c r="H6" s="60" t="s">
        <v>228</v>
      </c>
      <c r="I6" s="60" t="s">
        <v>234</v>
      </c>
      <c r="J6" s="6" t="s">
        <v>234</v>
      </c>
    </row>
    <row r="7" spans="1:13">
      <c r="A7" s="66"/>
      <c r="B7" s="9" t="s">
        <v>41</v>
      </c>
      <c r="C7" s="62" t="s">
        <v>29</v>
      </c>
      <c r="D7" s="65" t="str">
        <f>IF(C7="Y", "JIT Active: Optimizes transit mixing loops, slashing concrete wait lag by 60%.", "JIT Inactive: Mixed truck fleets run uncoordinated, causing material logjams.")</f>
        <v>JIT Inactive: Mixed truck fleets run uncoordinated, causing material logjams.</v>
      </c>
      <c r="E7" s="62" t="str">
        <f>IF(C7="Y", "Ref: Koskela's TFV (Transformation-Flow-Value) Theory. Eliminates variability in the 'Flow' phase by tracking truck cycle dispatch frequencies against rig consumption rates.", "")</f>
        <v/>
      </c>
      <c r="G7" s="10" t="s">
        <v>32</v>
      </c>
      <c r="H7" s="60" t="s">
        <v>229</v>
      </c>
      <c r="I7" s="60" t="s">
        <v>235</v>
      </c>
      <c r="J7" s="6" t="s">
        <v>235</v>
      </c>
    </row>
    <row r="8" spans="1:13">
      <c r="A8" s="66"/>
      <c r="B8" s="9" t="s">
        <v>42</v>
      </c>
      <c r="C8" s="62" t="s">
        <v>29</v>
      </c>
      <c r="D8" s="65" t="str">
        <f>IF(C8="Y", "Parallelism Active: Synchronizes crane-to-rig workflow, cutting boring times by 15%.", "Parallelism Inactive: Linear sequencing causes execution bottlenecks.")</f>
        <v>Parallelism Inactive: Linear sequencing causes execution bottlenecks.</v>
      </c>
      <c r="E8" s="62" t="str">
        <f>IF(C8="Y", "Ref: Last Planner System Operational Metrics. Conversational workflow modification targeting maximum machine uptime by de-linking ancillary tasks from critical path tools.", "")</f>
        <v/>
      </c>
      <c r="G8" s="10" t="s">
        <v>33</v>
      </c>
      <c r="H8" s="60" t="s">
        <v>230</v>
      </c>
      <c r="I8" s="60" t="s">
        <v>236</v>
      </c>
      <c r="J8" s="6" t="s">
        <v>236</v>
      </c>
    </row>
    <row r="9" spans="1:13">
      <c r="G9" s="10" t="s">
        <v>34</v>
      </c>
      <c r="H9" s="60" t="s">
        <v>230</v>
      </c>
      <c r="I9" s="60" t="s">
        <v>237</v>
      </c>
      <c r="J9" s="6" t="s">
        <v>237</v>
      </c>
    </row>
    <row r="10" spans="1:13">
      <c r="G10" s="10" t="s">
        <v>35</v>
      </c>
      <c r="H10" s="60" t="s">
        <v>231</v>
      </c>
      <c r="I10" s="60" t="s">
        <v>238</v>
      </c>
      <c r="J10" s="6" t="s">
        <v>238</v>
      </c>
    </row>
    <row r="11" spans="1:13">
      <c r="G11" s="10" t="s">
        <v>36</v>
      </c>
      <c r="H11" s="60" t="s">
        <v>173</v>
      </c>
      <c r="I11" s="60" t="s">
        <v>239</v>
      </c>
      <c r="J11" s="6" t="s">
        <v>239</v>
      </c>
    </row>
    <row r="12" spans="1:13">
      <c r="G12" s="10" t="s">
        <v>37</v>
      </c>
      <c r="H12" s="60" t="s">
        <v>227</v>
      </c>
      <c r="I12" s="60" t="s">
        <v>236</v>
      </c>
      <c r="J12" s="6" t="s">
        <v>236</v>
      </c>
    </row>
    <row r="15" spans="1:13">
      <c r="B15" s="102" t="s">
        <v>243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spans="1:13"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</row>
    <row r="17" spans="2:13"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spans="2:13"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</row>
    <row r="19" spans="2:13"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</row>
    <row r="20" spans="2:13"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</sheetData>
  <mergeCells count="1">
    <mergeCell ref="B15:M20"/>
  </mergeCells>
  <pageMargins left="0.7" right="0.7" top="0.75" bottom="0.75" header="0.3" footer="0.3"/>
  <pageSetup paperSize="9" scale="2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8A44-508D-49F6-99CC-DFC85C99E93D}">
  <sheetPr codeName="Sheet7"/>
  <dimension ref="A1:E43"/>
  <sheetViews>
    <sheetView topLeftCell="A11" zoomScale="62" zoomScaleNormal="62" workbookViewId="0">
      <selection activeCell="B28" sqref="B28"/>
    </sheetView>
  </sheetViews>
  <sheetFormatPr defaultRowHeight="14"/>
  <cols>
    <col min="1" max="1" width="53.453125" style="1" bestFit="1" customWidth="1"/>
    <col min="2" max="4" width="29.453125" style="4" customWidth="1"/>
    <col min="5" max="5" width="13.1796875" style="4" customWidth="1"/>
    <col min="6" max="16384" width="8.7265625" style="1"/>
  </cols>
  <sheetData>
    <row r="1" spans="1:4" ht="14.5" thickBot="1">
      <c r="A1" s="73" t="s">
        <v>174</v>
      </c>
      <c r="B1" s="74"/>
      <c r="C1" s="74"/>
      <c r="D1" s="74"/>
    </row>
    <row r="2" spans="1:4" ht="14.5" thickBot="1">
      <c r="A2" s="75" t="s">
        <v>131</v>
      </c>
      <c r="B2" s="76">
        <f>'Exc02'!G4</f>
        <v>73308</v>
      </c>
      <c r="C2" s="74" t="s">
        <v>126</v>
      </c>
      <c r="D2" s="74" t="s">
        <v>175</v>
      </c>
    </row>
    <row r="3" spans="1:4" ht="28.5" thickBot="1">
      <c r="A3" s="75" t="s">
        <v>176</v>
      </c>
      <c r="B3" s="76">
        <f>B2*35%</f>
        <v>25657.8</v>
      </c>
      <c r="C3" s="74" t="s">
        <v>126</v>
      </c>
      <c r="D3" s="74" t="s">
        <v>177</v>
      </c>
    </row>
    <row r="4" spans="1:4" ht="28.5" thickBot="1">
      <c r="A4" s="75" t="s">
        <v>178</v>
      </c>
      <c r="B4" s="76">
        <f>B2-B3</f>
        <v>47650.2</v>
      </c>
      <c r="C4" s="74" t="s">
        <v>126</v>
      </c>
      <c r="D4" s="74" t="s">
        <v>179</v>
      </c>
    </row>
    <row r="5" spans="1:4" ht="28.5" thickBot="1">
      <c r="A5" s="75" t="s">
        <v>180</v>
      </c>
      <c r="B5" s="76">
        <v>10</v>
      </c>
      <c r="C5" s="74" t="s">
        <v>123</v>
      </c>
      <c r="D5" s="74" t="s">
        <v>181</v>
      </c>
    </row>
    <row r="6" spans="1:4" ht="14.5" thickBot="1">
      <c r="A6" s="75" t="s">
        <v>182</v>
      </c>
      <c r="B6" s="76">
        <f>B2/B5</f>
        <v>7330.8</v>
      </c>
      <c r="C6" s="74" t="s">
        <v>120</v>
      </c>
      <c r="D6" s="74" t="s">
        <v>183</v>
      </c>
    </row>
    <row r="7" spans="1:4" ht="28.5" thickBot="1">
      <c r="A7" s="75" t="s">
        <v>184</v>
      </c>
      <c r="B7" s="76">
        <v>9</v>
      </c>
      <c r="C7" s="74" t="s">
        <v>117</v>
      </c>
      <c r="D7" s="74" t="s">
        <v>185</v>
      </c>
    </row>
    <row r="8" spans="1:4" ht="14.5" thickBot="1">
      <c r="A8" s="75" t="s">
        <v>186</v>
      </c>
      <c r="B8" s="76">
        <f>B7*60</f>
        <v>540</v>
      </c>
      <c r="C8" s="74" t="s">
        <v>114</v>
      </c>
      <c r="D8" s="74" t="s">
        <v>187</v>
      </c>
    </row>
    <row r="9" spans="1:4" ht="14.5" thickBot="1">
      <c r="A9" s="75" t="s">
        <v>188</v>
      </c>
      <c r="B9" s="76">
        <v>2</v>
      </c>
      <c r="C9" s="74" t="s">
        <v>111</v>
      </c>
      <c r="D9" s="74" t="s">
        <v>189</v>
      </c>
    </row>
    <row r="10" spans="1:4" ht="28.5" thickBot="1">
      <c r="A10" s="75" t="s">
        <v>190</v>
      </c>
      <c r="B10" s="76">
        <v>15</v>
      </c>
      <c r="C10" s="74" t="s">
        <v>108</v>
      </c>
      <c r="D10" s="74" t="s">
        <v>191</v>
      </c>
    </row>
    <row r="11" spans="1:4" ht="28.5" thickBot="1">
      <c r="A11" s="75" t="s">
        <v>192</v>
      </c>
      <c r="B11" s="76">
        <v>2.68</v>
      </c>
      <c r="C11" s="74" t="s">
        <v>105</v>
      </c>
      <c r="D11" s="74" t="s">
        <v>193</v>
      </c>
    </row>
    <row r="12" spans="1:4" ht="28.5" thickBot="1">
      <c r="A12" s="75" t="s">
        <v>194</v>
      </c>
      <c r="B12" s="76">
        <v>0.82</v>
      </c>
      <c r="C12" s="74" t="s">
        <v>102</v>
      </c>
      <c r="D12" s="74" t="s">
        <v>195</v>
      </c>
    </row>
    <row r="13" spans="1:4" ht="14.5" thickBot="1">
      <c r="A13" s="75" t="s">
        <v>196</v>
      </c>
      <c r="B13" s="76">
        <v>4.5</v>
      </c>
      <c r="C13" s="74" t="s">
        <v>97</v>
      </c>
      <c r="D13" s="74" t="s">
        <v>197</v>
      </c>
    </row>
    <row r="14" spans="1:4" ht="28.5" thickBot="1">
      <c r="A14" s="75" t="s">
        <v>198</v>
      </c>
      <c r="B14" s="76">
        <v>2.5</v>
      </c>
      <c r="C14" s="74" t="s">
        <v>97</v>
      </c>
      <c r="D14" s="74" t="s">
        <v>199</v>
      </c>
    </row>
    <row r="16" spans="1:4" ht="14.5" thickBot="1"/>
    <row r="17" spans="1:5" ht="14.5" thickBot="1">
      <c r="A17" s="73" t="s">
        <v>200</v>
      </c>
      <c r="B17" s="79" t="s">
        <v>261</v>
      </c>
      <c r="C17" s="79" t="s">
        <v>66</v>
      </c>
      <c r="D17" s="79" t="s">
        <v>63</v>
      </c>
      <c r="E17" s="1"/>
    </row>
    <row r="18" spans="1:5" ht="14.5" thickBot="1">
      <c r="A18" s="75" t="s">
        <v>201</v>
      </c>
      <c r="B18" s="76">
        <v>45</v>
      </c>
      <c r="C18" s="76">
        <f>'Exc02'!J4</f>
        <v>75</v>
      </c>
      <c r="D18" s="76">
        <f>'Exc02'!O4</f>
        <v>255</v>
      </c>
      <c r="E18" s="1"/>
    </row>
    <row r="19" spans="1:5" ht="14.5" thickBot="1">
      <c r="A19" s="75" t="s">
        <v>202</v>
      </c>
      <c r="B19" s="80">
        <f>B2/B18</f>
        <v>1629.0666666666666</v>
      </c>
      <c r="C19" s="80">
        <f>B2/C18</f>
        <v>977.44</v>
      </c>
      <c r="D19" s="80">
        <f>B2/D18</f>
        <v>287.48235294117649</v>
      </c>
      <c r="E19" s="1"/>
    </row>
    <row r="20" spans="1:5" ht="14.5" thickBot="1">
      <c r="A20" s="75" t="s">
        <v>203</v>
      </c>
      <c r="B20" s="80">
        <f>B19/B5</f>
        <v>162.90666666666667</v>
      </c>
      <c r="C20" s="80">
        <f>C19/B5</f>
        <v>97.744</v>
      </c>
      <c r="D20" s="80">
        <f>D19/B5</f>
        <v>28.748235294117649</v>
      </c>
      <c r="E20" s="1"/>
    </row>
    <row r="22" spans="1:5" ht="14.5" thickBot="1"/>
    <row r="23" spans="1:5" ht="14.5" thickBot="1">
      <c r="A23" s="73" t="s">
        <v>204</v>
      </c>
      <c r="B23" s="79" t="s">
        <v>261</v>
      </c>
      <c r="C23" s="79" t="s">
        <v>66</v>
      </c>
      <c r="D23" s="79" t="s">
        <v>63</v>
      </c>
      <c r="E23" s="74"/>
    </row>
    <row r="24" spans="1:5" ht="14.5" thickBot="1">
      <c r="A24" s="75" t="s">
        <v>205</v>
      </c>
      <c r="B24" s="80">
        <f>B20</f>
        <v>162.90666666666667</v>
      </c>
      <c r="C24" s="80">
        <f t="shared" ref="C24:D24" si="0">C20</f>
        <v>97.744</v>
      </c>
      <c r="D24" s="80">
        <f t="shared" si="0"/>
        <v>28.748235294117649</v>
      </c>
      <c r="E24" s="74" t="s">
        <v>206</v>
      </c>
    </row>
    <row r="25" spans="1:5" ht="14.5" thickBot="1">
      <c r="A25" s="75" t="s">
        <v>207</v>
      </c>
      <c r="B25" s="80">
        <f>B24/2</f>
        <v>81.453333333333333</v>
      </c>
      <c r="C25" s="80">
        <f t="shared" ref="C25:D25" si="1">C24/2</f>
        <v>48.872</v>
      </c>
      <c r="D25" s="80">
        <f t="shared" si="1"/>
        <v>14.374117647058824</v>
      </c>
      <c r="E25" s="74" t="s">
        <v>208</v>
      </c>
    </row>
    <row r="26" spans="1:5" ht="14.5" thickBot="1">
      <c r="A26" s="75" t="s">
        <v>209</v>
      </c>
      <c r="B26" s="80">
        <f>SUM(B27:B30)</f>
        <v>7</v>
      </c>
      <c r="C26" s="80">
        <f t="shared" ref="C26:D26" si="2">SUM(C27:C30)</f>
        <v>11.020408163265307</v>
      </c>
      <c r="D26" s="80">
        <f t="shared" si="2"/>
        <v>37.241379310344826</v>
      </c>
      <c r="E26" s="74" t="s">
        <v>114</v>
      </c>
    </row>
    <row r="27" spans="1:5" ht="14.5" thickBot="1">
      <c r="A27" s="75" t="s">
        <v>210</v>
      </c>
      <c r="B27" s="80">
        <f>'Exc01'!D8</f>
        <v>1</v>
      </c>
      <c r="C27" s="80">
        <f>'Exc01'!E8</f>
        <v>2.5</v>
      </c>
      <c r="D27" s="80">
        <f>'Exc01'!F8</f>
        <v>8</v>
      </c>
      <c r="E27" s="74" t="s">
        <v>114</v>
      </c>
    </row>
    <row r="28" spans="1:5" ht="14.5" thickBot="1">
      <c r="A28" s="75" t="s">
        <v>211</v>
      </c>
      <c r="B28" s="80">
        <f>'Exc01'!D9</f>
        <v>5</v>
      </c>
      <c r="C28" s="80">
        <f>'Exc01'!E9</f>
        <v>6</v>
      </c>
      <c r="D28" s="80">
        <f>'Exc01'!F9</f>
        <v>6</v>
      </c>
      <c r="E28" s="74" t="s">
        <v>114</v>
      </c>
    </row>
    <row r="29" spans="1:5" ht="14.5" thickBot="1">
      <c r="A29" s="75" t="s">
        <v>212</v>
      </c>
      <c r="B29" s="80">
        <f>'Exc01'!D10</f>
        <v>1</v>
      </c>
      <c r="C29" s="80">
        <f>'Exc01'!E10</f>
        <v>2.5</v>
      </c>
      <c r="D29" s="80">
        <f>'Exc01'!F10</f>
        <v>10</v>
      </c>
      <c r="E29" s="74" t="s">
        <v>114</v>
      </c>
    </row>
    <row r="30" spans="1:5" ht="14.5" thickBot="1">
      <c r="A30" s="75" t="s">
        <v>213</v>
      </c>
      <c r="B30" s="80">
        <f>'Exc01'!D11</f>
        <v>0</v>
      </c>
      <c r="C30" s="80">
        <f>'Exc01'!E11</f>
        <v>2.0408163265306811E-2</v>
      </c>
      <c r="D30" s="80">
        <f>'Exc01'!F11</f>
        <v>13.241379310344826</v>
      </c>
      <c r="E30" s="74" t="s">
        <v>214</v>
      </c>
    </row>
    <row r="32" spans="1:5" ht="14.5" thickBot="1"/>
    <row r="33" spans="1:5" ht="14.5" thickBot="1">
      <c r="A33" s="73" t="s">
        <v>215</v>
      </c>
      <c r="B33" s="74"/>
      <c r="C33" s="74"/>
      <c r="D33" s="74"/>
      <c r="E33" s="74"/>
    </row>
    <row r="34" spans="1:5" ht="14.5" thickBot="1">
      <c r="A34" s="75" t="s">
        <v>216</v>
      </c>
      <c r="B34" s="76">
        <f>'Exc04'!C4</f>
        <v>22908.749999999996</v>
      </c>
      <c r="C34" s="76">
        <f>'Exc04'!D4</f>
        <v>22908.749999999996</v>
      </c>
      <c r="D34" s="76">
        <f>'Exc04'!E4</f>
        <v>22908.749999999996</v>
      </c>
      <c r="E34" s="74" t="s">
        <v>217</v>
      </c>
    </row>
    <row r="35" spans="1:5" ht="14.5" thickBot="1">
      <c r="A35" s="75" t="s">
        <v>218</v>
      </c>
      <c r="B35" s="76">
        <f>'Exc04'!C7</f>
        <v>0</v>
      </c>
      <c r="C35" s="76">
        <f>'Exc04'!D7</f>
        <v>22.50000000000076</v>
      </c>
      <c r="D35" s="76">
        <f>'Exc04'!E7</f>
        <v>14687.999999999998</v>
      </c>
      <c r="E35" s="74" t="s">
        <v>217</v>
      </c>
    </row>
    <row r="36" spans="1:5" ht="14.5" thickBot="1">
      <c r="A36" s="73" t="s">
        <v>219</v>
      </c>
      <c r="B36" s="81">
        <f>SUM(B34:B35)</f>
        <v>22908.749999999996</v>
      </c>
      <c r="C36" s="81">
        <f t="shared" ref="C36:D36" si="3">SUM(C34:C35)</f>
        <v>22931.249999999996</v>
      </c>
      <c r="D36" s="81">
        <f t="shared" si="3"/>
        <v>37596.749999999993</v>
      </c>
      <c r="E36" s="74" t="s">
        <v>217</v>
      </c>
    </row>
    <row r="37" spans="1:5" ht="14.5" thickBot="1">
      <c r="A37" s="75"/>
      <c r="B37" s="74"/>
      <c r="C37" s="74"/>
      <c r="D37" s="74"/>
      <c r="E37" s="74"/>
    </row>
    <row r="38" spans="1:5" ht="14.5" thickBot="1">
      <c r="A38" s="75" t="s">
        <v>220</v>
      </c>
      <c r="B38" s="76">
        <f>'Exc04'!C12</f>
        <v>36655</v>
      </c>
      <c r="C38" s="76">
        <f>'Exc04'!D12</f>
        <v>36655</v>
      </c>
      <c r="D38" s="76">
        <f>'Exc04'!E12</f>
        <v>36655</v>
      </c>
      <c r="E38" s="74" t="s">
        <v>217</v>
      </c>
    </row>
    <row r="39" spans="1:5" ht="14.5" thickBot="1">
      <c r="A39" s="75" t="s">
        <v>221</v>
      </c>
      <c r="B39" s="76">
        <f>'Exc04'!C13</f>
        <v>0</v>
      </c>
      <c r="C39" s="76">
        <f>'Exc04'!D13</f>
        <v>0</v>
      </c>
      <c r="D39" s="76">
        <f>'Exc04'!E13</f>
        <v>14662</v>
      </c>
      <c r="E39" s="74" t="s">
        <v>217</v>
      </c>
    </row>
    <row r="40" spans="1:5" ht="14.5" thickBot="1">
      <c r="A40" s="73" t="s">
        <v>222</v>
      </c>
      <c r="B40" s="81">
        <f>SUM(B38:B39)</f>
        <v>36655</v>
      </c>
      <c r="C40" s="81">
        <f t="shared" ref="C40" si="4">SUM(C38:C39)</f>
        <v>36655</v>
      </c>
      <c r="D40" s="81">
        <f t="shared" ref="D40" si="5">SUM(D38:D39)</f>
        <v>51317</v>
      </c>
      <c r="E40" s="74" t="s">
        <v>217</v>
      </c>
    </row>
    <row r="41" spans="1:5" ht="14.5" thickBot="1">
      <c r="A41" s="75"/>
      <c r="B41" s="74"/>
      <c r="C41" s="74"/>
      <c r="D41" s="74"/>
      <c r="E41" s="74"/>
    </row>
    <row r="42" spans="1:5" ht="14.5" thickBot="1">
      <c r="A42" s="75" t="s">
        <v>223</v>
      </c>
      <c r="B42" s="82">
        <f>'Exc04'!C20</f>
        <v>4.9814999999999996</v>
      </c>
      <c r="C42" s="82">
        <f>'Exc04'!D20</f>
        <v>8.3025000000000002</v>
      </c>
      <c r="D42" s="82">
        <f>'Exc04'!E20</f>
        <v>28.2285</v>
      </c>
      <c r="E42" s="74" t="s">
        <v>224</v>
      </c>
    </row>
    <row r="43" spans="1:5" ht="14.5" thickBot="1">
      <c r="A43" s="73" t="s">
        <v>225</v>
      </c>
      <c r="B43" s="83">
        <f>((B$36*$B$11)/1000)+((B$40*$B$11)/1000)+B$42</f>
        <v>164.61235000000002</v>
      </c>
      <c r="C43" s="83">
        <f>((C$36*$B$11)/1000)+((C$40*$B$11)/1000)+C$42</f>
        <v>167.99365</v>
      </c>
      <c r="D43" s="83">
        <f>((D$36*$B$11)/1000)+((D$40*$B$11)/1000)+D$42</f>
        <v>266.51735000000002</v>
      </c>
      <c r="E43" s="74" t="s">
        <v>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7BEA-7D13-44C0-A52F-1FA22902FC6B}">
  <sheetPr codeName="Sheet9"/>
  <dimension ref="B4:N20"/>
  <sheetViews>
    <sheetView zoomScale="78" workbookViewId="0">
      <selection activeCell="B21" sqref="B21"/>
    </sheetView>
  </sheetViews>
  <sheetFormatPr defaultRowHeight="14"/>
  <cols>
    <col min="1" max="1" width="0.90625" style="3" customWidth="1"/>
    <col min="2" max="2" width="44.453125" style="3" bestFit="1" customWidth="1"/>
    <col min="3" max="3" width="8.7265625" style="2"/>
    <col min="4" max="4" width="31.36328125" style="3" customWidth="1"/>
    <col min="5" max="5" width="1.26953125" style="3" customWidth="1"/>
    <col min="6" max="6" width="1.453125" style="3" customWidth="1"/>
    <col min="7" max="7" width="1.36328125" style="3" customWidth="1"/>
    <col min="8" max="8" width="31.90625" style="3" bestFit="1" customWidth="1"/>
    <col min="9" max="9" width="12" style="2" bestFit="1" customWidth="1"/>
    <col min="10" max="10" width="13.453125" style="2" customWidth="1"/>
    <col min="11" max="11" width="1.08984375" style="3" customWidth="1"/>
    <col min="12" max="12" width="22.26953125" style="3" customWidth="1"/>
    <col min="13" max="13" width="9.08984375" style="3" bestFit="1" customWidth="1"/>
    <col min="14" max="16384" width="8.7265625" style="3"/>
  </cols>
  <sheetData>
    <row r="4" spans="2:14" ht="42">
      <c r="B4" s="3" t="s">
        <v>244</v>
      </c>
      <c r="C4" s="2">
        <v>3</v>
      </c>
      <c r="H4" s="6" t="s">
        <v>245</v>
      </c>
      <c r="I4" s="2" t="s">
        <v>246</v>
      </c>
      <c r="J4" s="2" t="s">
        <v>45</v>
      </c>
      <c r="L4" s="3" t="s">
        <v>262</v>
      </c>
      <c r="M4" s="84" t="s">
        <v>255</v>
      </c>
      <c r="N4" s="78">
        <v>0</v>
      </c>
    </row>
    <row r="5" spans="2:14">
      <c r="H5" s="6" t="s">
        <v>249</v>
      </c>
      <c r="I5" s="2" t="s">
        <v>251</v>
      </c>
      <c r="J5" s="2" t="s">
        <v>251</v>
      </c>
      <c r="L5" s="3" t="s">
        <v>263</v>
      </c>
      <c r="M5" s="78" t="s">
        <v>256</v>
      </c>
      <c r="N5" s="78">
        <v>0</v>
      </c>
    </row>
    <row r="6" spans="2:14" ht="42">
      <c r="B6" s="3" t="s">
        <v>232</v>
      </c>
      <c r="C6" s="2" t="s">
        <v>29</v>
      </c>
      <c r="D6" s="3" t="str">
        <f>IF(C6="Y", "VSM Active: Re-routes haul loops and fixes gate access, removing the 14,662L traffic crawl penalty.", "VSM Inactive: Trucks queue in severe site traffic bottlenecks, burning extra congestion fuel.")</f>
        <v>VSM Inactive: Trucks queue in severe site traffic bottlenecks, burning extra congestion fuel.</v>
      </c>
      <c r="H6" s="6" t="s">
        <v>211</v>
      </c>
      <c r="I6" s="2" t="s">
        <v>252</v>
      </c>
      <c r="J6" s="2" t="s">
        <v>252</v>
      </c>
      <c r="L6" s="3" t="s">
        <v>263</v>
      </c>
      <c r="M6" s="78" t="s">
        <v>257</v>
      </c>
      <c r="N6" s="78">
        <v>0</v>
      </c>
    </row>
    <row r="7" spans="2:14" ht="42">
      <c r="B7" s="3" t="s">
        <v>233</v>
      </c>
      <c r="C7" s="2" t="s">
        <v>29</v>
      </c>
      <c r="D7" s="3" t="str">
        <f>IF(C7="Y", "JIT Active: Balances excavator-to-truck ratios, slashing daily idle wait states by 80%.", "JIT Inactive: Fleet mismatch causes excavation rigs to cycle completely idle waiting for tippers.")</f>
        <v>JIT Inactive: Fleet mismatch causes excavation rigs to cycle completely idle waiting for tippers.</v>
      </c>
      <c r="H7" s="6" t="s">
        <v>250</v>
      </c>
      <c r="I7" s="2" t="s">
        <v>227</v>
      </c>
      <c r="J7" s="2" t="s">
        <v>227</v>
      </c>
      <c r="L7" s="3" t="s">
        <v>264</v>
      </c>
      <c r="M7" s="84" t="s">
        <v>258</v>
      </c>
      <c r="N7" s="78">
        <v>0</v>
      </c>
    </row>
    <row r="8" spans="2:14" ht="28">
      <c r="H8" s="6" t="s">
        <v>247</v>
      </c>
      <c r="I8" s="2" t="s">
        <v>253</v>
      </c>
      <c r="J8" s="2" t="s">
        <v>253</v>
      </c>
      <c r="L8" s="3" t="s">
        <v>265</v>
      </c>
      <c r="M8" s="84" t="s">
        <v>259</v>
      </c>
      <c r="N8" s="78">
        <v>0</v>
      </c>
    </row>
    <row r="9" spans="2:14">
      <c r="H9" s="6" t="s">
        <v>248</v>
      </c>
      <c r="I9" s="2" t="s">
        <v>254</v>
      </c>
      <c r="J9" s="2" t="s">
        <v>254</v>
      </c>
    </row>
    <row r="13" spans="2:14" ht="14.5" thickBot="1"/>
    <row r="14" spans="2:14">
      <c r="B14" s="104" t="s">
        <v>260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6"/>
    </row>
    <row r="15" spans="2:14">
      <c r="B15" s="107"/>
      <c r="C15" s="108"/>
      <c r="D15" s="108"/>
      <c r="E15" s="108"/>
      <c r="F15" s="108"/>
      <c r="G15" s="108"/>
      <c r="H15" s="108"/>
      <c r="I15" s="108"/>
      <c r="J15" s="108"/>
      <c r="K15" s="108"/>
      <c r="L15" s="109"/>
    </row>
    <row r="16" spans="2:14"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9"/>
    </row>
    <row r="17" spans="2:12"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9"/>
    </row>
    <row r="18" spans="2:12"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9"/>
    </row>
    <row r="19" spans="2:12"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9"/>
    </row>
    <row r="20" spans="2:12" ht="14.5" thickBot="1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2"/>
    </row>
  </sheetData>
  <mergeCells count="1">
    <mergeCell ref="B14:L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Exc01</vt:lpstr>
      <vt:lpstr>Exc02</vt:lpstr>
      <vt:lpstr>Exc03</vt:lpstr>
      <vt:lpstr>Exc04</vt:lpstr>
      <vt:lpstr>Dashboard Data</vt:lpstr>
      <vt:lpstr>Shore Piling</vt:lpstr>
      <vt:lpstr>DB - Shore piling</vt:lpstr>
      <vt:lpstr>Excavation</vt:lpstr>
      <vt:lpstr>DB - Excavation</vt:lpstr>
      <vt:lpstr>'DB - Shore piling'!Print_Area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Kuhikar</dc:creator>
  <cp:lastModifiedBy>Aniket Kuhikar</cp:lastModifiedBy>
  <cp:lastPrinted>2026-05-19T09:39:38Z</cp:lastPrinted>
  <dcterms:created xsi:type="dcterms:W3CDTF">2026-05-17T07:42:53Z</dcterms:created>
  <dcterms:modified xsi:type="dcterms:W3CDTF">2026-05-24T07:59:18Z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2026-05-17T07:43:02Z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d4035c02-6f2d-4fa3-977a-23c84f382e28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