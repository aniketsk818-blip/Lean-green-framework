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IT Notes\5. Final Year MTP\Thesis - Final\"/>
    </mc:Choice>
  </mc:AlternateContent>
  <xr:revisionPtr revIDLastSave="0" documentId="13_ncr:1_{D8173DA4-5DB9-4FC4-8C91-275C7338393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ster_Finishing_MEP" sheetId="1" r:id="rId1"/>
    <sheet name="Calculation_Engine" sheetId="2" r:id="rId2"/>
    <sheet name="Dashboard_Link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5" i="2"/>
  <c r="D3" i="3"/>
  <c r="C3" i="3"/>
  <c r="B3" i="3"/>
  <c r="D9" i="2"/>
  <c r="D6" i="3" s="1"/>
  <c r="C9" i="2"/>
  <c r="C6" i="3" s="1"/>
  <c r="B6" i="3"/>
  <c r="D8" i="2"/>
  <c r="C8" i="2"/>
  <c r="B8" i="2"/>
  <c r="D7" i="2"/>
  <c r="C7" i="2"/>
  <c r="B7" i="2"/>
  <c r="D6" i="2"/>
  <c r="C6" i="2"/>
  <c r="B6" i="2"/>
  <c r="B4" i="2"/>
  <c r="D3" i="2"/>
  <c r="D4" i="2" s="1"/>
  <c r="C3" i="2"/>
  <c r="C4" i="2" s="1"/>
  <c r="B3" i="2"/>
  <c r="B5" i="3" l="1"/>
  <c r="B7" i="3"/>
  <c r="C5" i="2"/>
  <c r="C4" i="3"/>
  <c r="D5" i="2"/>
  <c r="D4" i="3"/>
  <c r="B4" i="3"/>
  <c r="D10" i="2" l="1"/>
  <c r="D7" i="3" s="1"/>
  <c r="D5" i="3"/>
  <c r="C10" i="2"/>
  <c r="C7" i="3" s="1"/>
  <c r="C5" i="3"/>
</calcChain>
</file>

<file path=xl/sharedStrings.xml><?xml version="1.0" encoding="utf-8"?>
<sst xmlns="http://schemas.openxmlformats.org/spreadsheetml/2006/main" count="60" uniqueCount="43">
  <si>
    <t>MTech Thesis: Master Finishing &amp; MEP Variables (Isolated Boundary Setup)</t>
  </si>
  <si>
    <t>Parameter Description</t>
  </si>
  <si>
    <t>Case 1: Industry Std</t>
  </si>
  <si>
    <t>Case 2: Baseline Planned</t>
  </si>
  <si>
    <t>Case 3: Actual Achieved</t>
  </si>
  <si>
    <t>Engineering Unit</t>
  </si>
  <si>
    <t>Net Residual Window Post-RCC</t>
  </si>
  <si>
    <t>Days</t>
  </si>
  <si>
    <t>Base Plaster Mortar Waste Rate</t>
  </si>
  <si>
    <t>Percentage</t>
  </si>
  <si>
    <t>Base Screed &amp; Tiling Scrap Rate</t>
  </si>
  <si>
    <t>Base MEP Shaft Rework Incidence</t>
  </si>
  <si>
    <t>Plaster Carbon Coefficient</t>
  </si>
  <si>
    <t>tCO2e/Percentage</t>
  </si>
  <si>
    <t>Screed Carbon Coefficient</t>
  </si>
  <si>
    <t>MEP Carbon Coefficient</t>
  </si>
  <si>
    <t>Hoist Group Connected Power Load</t>
  </si>
  <si>
    <t>kW</t>
  </si>
  <si>
    <t>Daily Shift Operating Window</t>
  </si>
  <si>
    <t>Hours</t>
  </si>
  <si>
    <t>Active Hoist Load Utilization Factor</t>
  </si>
  <si>
    <t>Factor</t>
  </si>
  <si>
    <t>Indian Power Grid Emission Factor</t>
  </si>
  <si>
    <t>kg/kWh</t>
  </si>
  <si>
    <t>Parametric Computational Verification Core</t>
  </si>
  <si>
    <t>Daily Hoist Power Consumption</t>
  </si>
  <si>
    <t>kWh/day</t>
  </si>
  <si>
    <t>Total Residual Hoist Electricity</t>
  </si>
  <si>
    <t>kWh</t>
  </si>
  <si>
    <t>Residual Hoist Carbon Footprint</t>
  </si>
  <si>
    <t>Tonnes CO2e</t>
  </si>
  <si>
    <t>Plaster Mortar Waste Carbon</t>
  </si>
  <si>
    <t>Screed &amp; Tiling Scrap Carbon</t>
  </si>
  <si>
    <t>MEP Shaft Rework Carbon</t>
  </si>
  <si>
    <t>Total Material Waste Carbon Footprint</t>
  </si>
  <si>
    <t>TOTAL ISOLATED FINISHING CARBON</t>
  </si>
  <si>
    <t>Consolidated Dynamic Twin Presentation Interface</t>
  </si>
  <si>
    <t>Dashboard Summary Crate</t>
  </si>
  <si>
    <t>Finishing Operational Phase Duration (Days)</t>
  </si>
  <si>
    <t>Residual Hoist Power Consumption (kWh)</t>
  </si>
  <si>
    <t>On-Site Operational Hoist Carbon (Tonnes CO2e)</t>
  </si>
  <si>
    <t>Material Waste Footprint Carbon (Tonnes CO2e)</t>
  </si>
  <si>
    <t>TOTAL PHASE 4 CARBON WEIGHT (Tonnes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</si>
</sst>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0B2545"/>
      <name val="Calibri"/>
    </font>
    <font>
      <b/>
      <sz val="11"/>
      <color rgb="FFF3F0D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0B2545"/>
      </patternFill>
    </fill>
    <fill>
      <patternFill patternType="solid">
        <fgColor rgb="FFEDF2F7"/>
        <bgColor rgb="FFEDF2F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B254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B3" sqref="B3"/>
    </sheetView>
  </sheetViews>
  <sheetFormatPr defaultRowHeight="14.5" x14ac:dyDescent="0.35"/>
  <cols>
    <col min="1" max="1" width="47.81640625" customWidth="1"/>
    <col min="2" max="2" width="23" customWidth="1"/>
    <col min="3" max="3" width="27" customWidth="1"/>
    <col min="4" max="4" width="26" customWidth="1"/>
    <col min="5" max="5" width="19" customWidth="1"/>
  </cols>
  <sheetData>
    <row r="1" spans="1:5" ht="30" customHeight="1" x14ac:dyDescent="0.45">
      <c r="A1" s="1" t="s">
        <v>0</v>
      </c>
    </row>
    <row r="2" spans="1:5" ht="25" customHeigh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0" customHeight="1" x14ac:dyDescent="0.35">
      <c r="A3" s="4" t="s">
        <v>6</v>
      </c>
      <c r="B3" s="5">
        <v>60</v>
      </c>
      <c r="C3" s="5">
        <v>90</v>
      </c>
      <c r="D3" s="5">
        <v>180</v>
      </c>
      <c r="E3" s="4" t="s">
        <v>7</v>
      </c>
    </row>
    <row r="4" spans="1:5" ht="20" customHeight="1" x14ac:dyDescent="0.35">
      <c r="A4" s="4" t="s">
        <v>8</v>
      </c>
      <c r="B4" s="5">
        <v>5</v>
      </c>
      <c r="C4" s="5">
        <v>12.5</v>
      </c>
      <c r="D4" s="5">
        <v>12.5</v>
      </c>
      <c r="E4" s="4" t="s">
        <v>9</v>
      </c>
    </row>
    <row r="5" spans="1:5" ht="20" customHeight="1" x14ac:dyDescent="0.35">
      <c r="A5" s="4" t="s">
        <v>10</v>
      </c>
      <c r="B5" s="5">
        <v>4</v>
      </c>
      <c r="C5" s="5">
        <v>10</v>
      </c>
      <c r="D5" s="5">
        <v>10</v>
      </c>
      <c r="E5" s="4" t="s">
        <v>9</v>
      </c>
    </row>
    <row r="6" spans="1:5" ht="20" customHeight="1" x14ac:dyDescent="0.35">
      <c r="A6" s="4" t="s">
        <v>11</v>
      </c>
      <c r="B6" s="5">
        <v>2</v>
      </c>
      <c r="C6" s="5">
        <v>8.5</v>
      </c>
      <c r="D6" s="5">
        <v>8.5</v>
      </c>
      <c r="E6" s="4" t="s">
        <v>9</v>
      </c>
    </row>
    <row r="7" spans="1:5" ht="20" customHeight="1" x14ac:dyDescent="0.35">
      <c r="A7" s="4" t="s">
        <v>12</v>
      </c>
      <c r="B7" s="5">
        <v>4.8</v>
      </c>
      <c r="C7" s="5">
        <v>4.8</v>
      </c>
      <c r="D7" s="5">
        <v>4.8</v>
      </c>
      <c r="E7" s="4" t="s">
        <v>13</v>
      </c>
    </row>
    <row r="8" spans="1:5" ht="20" customHeight="1" x14ac:dyDescent="0.35">
      <c r="A8" s="4" t="s">
        <v>14</v>
      </c>
      <c r="B8" s="5">
        <v>6.2</v>
      </c>
      <c r="C8" s="5">
        <v>6.2</v>
      </c>
      <c r="D8" s="5">
        <v>6.2</v>
      </c>
      <c r="E8" s="4" t="s">
        <v>13</v>
      </c>
    </row>
    <row r="9" spans="1:5" ht="20" customHeight="1" x14ac:dyDescent="0.35">
      <c r="A9" s="4" t="s">
        <v>15</v>
      </c>
      <c r="B9" s="5">
        <v>3.8</v>
      </c>
      <c r="C9" s="5">
        <v>3.8</v>
      </c>
      <c r="D9" s="5">
        <v>3.8</v>
      </c>
      <c r="E9" s="4" t="s">
        <v>13</v>
      </c>
    </row>
    <row r="10" spans="1:5" ht="20" customHeight="1" x14ac:dyDescent="0.35">
      <c r="A10" s="4" t="s">
        <v>16</v>
      </c>
      <c r="B10" s="5">
        <v>15</v>
      </c>
      <c r="C10" s="5">
        <v>15</v>
      </c>
      <c r="D10" s="5">
        <v>15</v>
      </c>
      <c r="E10" s="4" t="s">
        <v>17</v>
      </c>
    </row>
    <row r="11" spans="1:5" ht="20" customHeight="1" x14ac:dyDescent="0.35">
      <c r="A11" s="4" t="s">
        <v>18</v>
      </c>
      <c r="B11" s="5">
        <v>9</v>
      </c>
      <c r="C11" s="5">
        <v>9</v>
      </c>
      <c r="D11" s="5">
        <v>9</v>
      </c>
      <c r="E11" s="4" t="s">
        <v>19</v>
      </c>
    </row>
    <row r="12" spans="1:5" ht="20" customHeight="1" x14ac:dyDescent="0.35">
      <c r="A12" s="4" t="s">
        <v>20</v>
      </c>
      <c r="B12" s="5">
        <v>0.4</v>
      </c>
      <c r="C12" s="5">
        <v>0.4</v>
      </c>
      <c r="D12" s="5">
        <v>0.4</v>
      </c>
      <c r="E12" s="4" t="s">
        <v>21</v>
      </c>
    </row>
    <row r="13" spans="1:5" ht="20" customHeight="1" x14ac:dyDescent="0.35">
      <c r="A13" s="4" t="s">
        <v>22</v>
      </c>
      <c r="B13" s="5">
        <v>0.82</v>
      </c>
      <c r="C13" s="5">
        <v>0.82</v>
      </c>
      <c r="D13" s="5">
        <v>0.82</v>
      </c>
      <c r="E13" s="4" t="s">
        <v>23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E11" sqref="E11"/>
    </sheetView>
  </sheetViews>
  <sheetFormatPr defaultRowHeight="14.5" x14ac:dyDescent="0.35"/>
  <cols>
    <col min="1" max="1" width="45" customWidth="1"/>
    <col min="2" max="2" width="17.54296875" bestFit="1" customWidth="1"/>
    <col min="3" max="3" width="21.6328125" bestFit="1" customWidth="1"/>
    <col min="4" max="4" width="20.6328125" bestFit="1" customWidth="1"/>
    <col min="5" max="5" width="19" customWidth="1"/>
  </cols>
  <sheetData>
    <row r="1" spans="1:5" ht="30" customHeight="1" x14ac:dyDescent="0.45">
      <c r="A1" s="1" t="s">
        <v>24</v>
      </c>
    </row>
    <row r="2" spans="1:5" ht="25" customHeigh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0" customHeight="1" x14ac:dyDescent="0.35">
      <c r="A3" s="4" t="s">
        <v>25</v>
      </c>
      <c r="B3" s="8">
        <f>Master_Finishing_MEP!B10*Master_Finishing_MEP!B11*Master_Finishing_MEP!B12</f>
        <v>54</v>
      </c>
      <c r="C3" s="8">
        <f>Master_Finishing_MEP!C10*Master_Finishing_MEP!C11*Master_Finishing_MEP!C12</f>
        <v>54</v>
      </c>
      <c r="D3" s="8">
        <f>Master_Finishing_MEP!D10*Master_Finishing_MEP!D11*Master_Finishing_MEP!D12</f>
        <v>54</v>
      </c>
      <c r="E3" s="4" t="s">
        <v>26</v>
      </c>
    </row>
    <row r="4" spans="1:5" ht="20" customHeight="1" x14ac:dyDescent="0.35">
      <c r="A4" s="4" t="s">
        <v>27</v>
      </c>
      <c r="B4" s="8">
        <f>B3*Master_Finishing_MEP!B3</f>
        <v>3240</v>
      </c>
      <c r="C4" s="8">
        <f>C3*Master_Finishing_MEP!C3</f>
        <v>4860</v>
      </c>
      <c r="D4" s="8">
        <f>D3*Master_Finishing_MEP!D3</f>
        <v>9720</v>
      </c>
      <c r="E4" s="4" t="s">
        <v>28</v>
      </c>
    </row>
    <row r="5" spans="1:5" ht="20" customHeight="1" x14ac:dyDescent="0.35">
      <c r="A5" s="4" t="s">
        <v>29</v>
      </c>
      <c r="B5" s="8">
        <f>(B4*Master_Finishing_MEP!B13)/1000</f>
        <v>2.6567999999999996</v>
      </c>
      <c r="C5" s="8">
        <f>(C4*Master_Finishing_MEP!C13)/1000</f>
        <v>3.9851999999999999</v>
      </c>
      <c r="D5" s="8">
        <f>(D4*Master_Finishing_MEP!D13)/1000</f>
        <v>7.9703999999999997</v>
      </c>
      <c r="E5" s="4" t="s">
        <v>30</v>
      </c>
    </row>
    <row r="6" spans="1:5" ht="20" customHeight="1" x14ac:dyDescent="0.35">
      <c r="A6" s="4" t="s">
        <v>31</v>
      </c>
      <c r="B6" s="8">
        <f>Master_Finishing_MEP!B4*Master_Finishing_MEP!B7*(Master_Finishing_MEP!B3/180)</f>
        <v>8</v>
      </c>
      <c r="C6" s="8">
        <f>Master_Finishing_MEP!C4*Master_Finishing_MEP!C7*(Master_Finishing_MEP!C3/180)</f>
        <v>30</v>
      </c>
      <c r="D6" s="8">
        <f>Master_Finishing_MEP!D4*Master_Finishing_MEP!D7*(Master_Finishing_MEP!D3/180)</f>
        <v>60</v>
      </c>
      <c r="E6" s="4" t="s">
        <v>30</v>
      </c>
    </row>
    <row r="7" spans="1:5" ht="20" customHeight="1" x14ac:dyDescent="0.35">
      <c r="A7" s="4" t="s">
        <v>32</v>
      </c>
      <c r="B7" s="8">
        <f>Master_Finishing_MEP!B5*Master_Finishing_MEP!B8*(Master_Finishing_MEP!B3/180)</f>
        <v>8.2666666666666657</v>
      </c>
      <c r="C7" s="8">
        <f>Master_Finishing_MEP!C5*Master_Finishing_MEP!C8*(Master_Finishing_MEP!C3/180)</f>
        <v>31</v>
      </c>
      <c r="D7" s="8">
        <f>Master_Finishing_MEP!D5*Master_Finishing_MEP!D8*(Master_Finishing_MEP!D3/180)</f>
        <v>62</v>
      </c>
      <c r="E7" s="4" t="s">
        <v>30</v>
      </c>
    </row>
    <row r="8" spans="1:5" ht="20" customHeight="1" x14ac:dyDescent="0.35">
      <c r="A8" s="4" t="s">
        <v>33</v>
      </c>
      <c r="B8" s="8">
        <f>Master_Finishing_MEP!B6*Master_Finishing_MEP!B9*(Master_Finishing_MEP!B3/180)</f>
        <v>2.5333333333333332</v>
      </c>
      <c r="C8" s="8">
        <f>Master_Finishing_MEP!C6*Master_Finishing_MEP!C9*(Master_Finishing_MEP!C3/180)</f>
        <v>16.149999999999999</v>
      </c>
      <c r="D8" s="8">
        <f>Master_Finishing_MEP!D6*Master_Finishing_MEP!D9*(Master_Finishing_MEP!D3/180)</f>
        <v>32.299999999999997</v>
      </c>
      <c r="E8" s="4" t="s">
        <v>30</v>
      </c>
    </row>
    <row r="9" spans="1:5" ht="20" customHeight="1" x14ac:dyDescent="0.35">
      <c r="A9" s="4" t="s">
        <v>34</v>
      </c>
      <c r="B9" s="8">
        <f>SUM(B6:B8)</f>
        <v>18.799999999999997</v>
      </c>
      <c r="C9" s="8">
        <f>SUM(C6:C8)</f>
        <v>77.150000000000006</v>
      </c>
      <c r="D9" s="8">
        <f>SUM(D6:D8)</f>
        <v>154.30000000000001</v>
      </c>
      <c r="E9" s="4" t="s">
        <v>30</v>
      </c>
    </row>
    <row r="10" spans="1:5" ht="20" customHeight="1" x14ac:dyDescent="0.35">
      <c r="A10" s="6" t="s">
        <v>35</v>
      </c>
      <c r="B10" s="9">
        <f>B5+B9</f>
        <v>21.456799999999998</v>
      </c>
      <c r="C10" s="9">
        <f>C5+C9</f>
        <v>81.135200000000012</v>
      </c>
      <c r="D10" s="9">
        <f>D5+D9</f>
        <v>162.27040000000002</v>
      </c>
      <c r="E10" s="6" t="s">
        <v>30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3" sqref="D3"/>
    </sheetView>
  </sheetViews>
  <sheetFormatPr defaultRowHeight="14.5" x14ac:dyDescent="0.35"/>
  <cols>
    <col min="1" max="1" width="51" customWidth="1"/>
    <col min="2" max="2" width="17.54296875" bestFit="1" customWidth="1"/>
    <col min="3" max="3" width="21.6328125" bestFit="1" customWidth="1"/>
    <col min="4" max="4" width="20.6328125" bestFit="1" customWidth="1"/>
  </cols>
  <sheetData>
    <row r="1" spans="1:4" ht="30" customHeight="1" x14ac:dyDescent="0.45">
      <c r="A1" s="1" t="s">
        <v>36</v>
      </c>
    </row>
    <row r="2" spans="1:4" ht="25" customHeight="1" x14ac:dyDescent="0.35">
      <c r="A2" s="2" t="s">
        <v>37</v>
      </c>
      <c r="B2" s="3" t="s">
        <v>2</v>
      </c>
      <c r="C2" s="3" t="s">
        <v>3</v>
      </c>
      <c r="D2" s="3" t="s">
        <v>4</v>
      </c>
    </row>
    <row r="3" spans="1:4" ht="20" customHeight="1" x14ac:dyDescent="0.35">
      <c r="A3" s="4" t="s">
        <v>38</v>
      </c>
      <c r="B3" s="5">
        <f>Master_Finishing_MEP!B3</f>
        <v>60</v>
      </c>
      <c r="C3" s="5">
        <f>Master_Finishing_MEP!C3</f>
        <v>90</v>
      </c>
      <c r="D3" s="5">
        <f>Master_Finishing_MEP!D3</f>
        <v>180</v>
      </c>
    </row>
    <row r="4" spans="1:4" ht="20" customHeight="1" x14ac:dyDescent="0.35">
      <c r="A4" s="4" t="s">
        <v>39</v>
      </c>
      <c r="B4" s="5">
        <f>Calculation_Engine!B4</f>
        <v>3240</v>
      </c>
      <c r="C4" s="5">
        <f>Calculation_Engine!C4</f>
        <v>4860</v>
      </c>
      <c r="D4" s="5">
        <f>Calculation_Engine!D4</f>
        <v>9720</v>
      </c>
    </row>
    <row r="5" spans="1:4" ht="20" customHeight="1" x14ac:dyDescent="0.35">
      <c r="A5" s="4" t="s">
        <v>40</v>
      </c>
      <c r="B5" s="5">
        <f>Calculation_Engine!B5</f>
        <v>2.6567999999999996</v>
      </c>
      <c r="C5" s="5">
        <f>Calculation_Engine!C5</f>
        <v>3.9851999999999999</v>
      </c>
      <c r="D5" s="5">
        <f>Calculation_Engine!D5</f>
        <v>7.9703999999999997</v>
      </c>
    </row>
    <row r="6" spans="1:4" ht="20" customHeight="1" x14ac:dyDescent="0.35">
      <c r="A6" s="4" t="s">
        <v>41</v>
      </c>
      <c r="B6" s="5">
        <f>Calculation_Engine!B9</f>
        <v>18.799999999999997</v>
      </c>
      <c r="C6" s="5">
        <f>Calculation_Engine!C9</f>
        <v>77.150000000000006</v>
      </c>
      <c r="D6" s="5">
        <f>Calculation_Engine!D9</f>
        <v>154.30000000000001</v>
      </c>
    </row>
    <row r="7" spans="1:4" ht="20" customHeight="1" x14ac:dyDescent="0.35">
      <c r="A7" s="6" t="s">
        <v>42</v>
      </c>
      <c r="B7" s="7">
        <f>Calculation_Engine!B10</f>
        <v>21.456799999999998</v>
      </c>
      <c r="C7" s="7">
        <f>Calculation_Engine!C10</f>
        <v>81.135200000000012</v>
      </c>
      <c r="D7" s="7">
        <f>Calculation_Engine!D10</f>
        <v>162.27040000000002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Master_Finishing_MEP</vt:lpstr>
      <vt:lpstr>Calculation_Engine</vt:lpstr>
      <vt:lpstr>Dashboard_Linkage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Kuhikar</cp:lastModifiedBy>
  <dcterms:created xsi:type="dcterms:W3CDTF">2026-05-23T18:34:18Z</dcterms:created>
  <dcterms:modified xsi:type="dcterms:W3CDTF">2026-05-24T08:21:39Z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2026-05-23T18:40:14Z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171eaf76-3815-4d89-9410-8cdff011b049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